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psf\Home\Desktop\Work\Projects\StockQuote\"/>
    </mc:Choice>
  </mc:AlternateContent>
  <bookViews>
    <workbookView xWindow="0" yWindow="0" windowWidth="20730" windowHeight="9735" activeTab="1"/>
  </bookViews>
  <sheets>
    <sheet name="Stocks" sheetId="4" r:id="rId1"/>
    <sheet name="Data" sheetId="6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6" l="1"/>
  <c r="W5" i="6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3" i="6"/>
  <c r="W254" i="6"/>
  <c r="V2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3" i="6"/>
  <c r="B2" i="6" a="1"/>
  <c r="B2" i="6"/>
  <c r="C2" i="6"/>
  <c r="D2" i="6"/>
  <c r="E2" i="6"/>
  <c r="F2" i="6"/>
  <c r="G2" i="6"/>
  <c r="H2" i="6"/>
  <c r="I2" i="6"/>
  <c r="J2" i="6"/>
  <c r="K2" i="6"/>
  <c r="B1" i="6" a="1"/>
  <c r="B1" i="6" s="1"/>
  <c r="N13" i="4"/>
  <c r="M13" i="4"/>
  <c r="V3" i="6" a="1"/>
  <c r="C3" i="6" a="1"/>
  <c r="E3" i="6" a="1"/>
  <c r="F3" i="6" a="1"/>
  <c r="G3" i="6" a="1"/>
  <c r="H3" i="6" a="1"/>
  <c r="D3" i="6" a="1"/>
  <c r="I3" i="6" a="1"/>
  <c r="J3" i="6" a="1"/>
  <c r="K3" i="6" a="1"/>
  <c r="B3" i="6" a="1"/>
  <c r="V4" i="6" l="1"/>
  <c r="V6" i="6"/>
  <c r="V8" i="6"/>
  <c r="V10" i="6"/>
  <c r="V12" i="6"/>
  <c r="V14" i="6"/>
  <c r="V16" i="6"/>
  <c r="V18" i="6"/>
  <c r="V20" i="6"/>
  <c r="V22" i="6"/>
  <c r="V24" i="6"/>
  <c r="V26" i="6"/>
  <c r="V28" i="6"/>
  <c r="V30" i="6"/>
  <c r="V32" i="6"/>
  <c r="V34" i="6"/>
  <c r="V36" i="6"/>
  <c r="V38" i="6"/>
  <c r="V40" i="6"/>
  <c r="V42" i="6"/>
  <c r="V44" i="6"/>
  <c r="V46" i="6"/>
  <c r="V48" i="6"/>
  <c r="V50" i="6"/>
  <c r="V52" i="6"/>
  <c r="V54" i="6"/>
  <c r="V56" i="6"/>
  <c r="V58" i="6"/>
  <c r="V60" i="6"/>
  <c r="V62" i="6"/>
  <c r="V64" i="6"/>
  <c r="V66" i="6"/>
  <c r="V68" i="6"/>
  <c r="V70" i="6"/>
  <c r="V72" i="6"/>
  <c r="V74" i="6"/>
  <c r="V76" i="6"/>
  <c r="V78" i="6"/>
  <c r="V80" i="6"/>
  <c r="V82" i="6"/>
  <c r="V84" i="6"/>
  <c r="V86" i="6"/>
  <c r="V88" i="6"/>
  <c r="V90" i="6"/>
  <c r="V92" i="6"/>
  <c r="V94" i="6"/>
  <c r="V96" i="6"/>
  <c r="V98" i="6"/>
  <c r="V100" i="6"/>
  <c r="V102" i="6"/>
  <c r="V104" i="6"/>
  <c r="V106" i="6"/>
  <c r="V108" i="6"/>
  <c r="V110" i="6"/>
  <c r="V112" i="6"/>
  <c r="V114" i="6"/>
  <c r="V116" i="6"/>
  <c r="V118" i="6"/>
  <c r="V120" i="6"/>
  <c r="V122" i="6"/>
  <c r="V124" i="6"/>
  <c r="V126" i="6"/>
  <c r="V128" i="6"/>
  <c r="V130" i="6"/>
  <c r="V132" i="6"/>
  <c r="V134" i="6"/>
  <c r="V136" i="6"/>
  <c r="V138" i="6"/>
  <c r="V140" i="6"/>
  <c r="V142" i="6"/>
  <c r="V144" i="6"/>
  <c r="V146" i="6"/>
  <c r="V148" i="6"/>
  <c r="V150" i="6"/>
  <c r="V152" i="6"/>
  <c r="V154" i="6"/>
  <c r="V156" i="6"/>
  <c r="V158" i="6"/>
  <c r="V160" i="6"/>
  <c r="V162" i="6"/>
  <c r="V164" i="6"/>
  <c r="V166" i="6"/>
  <c r="V168" i="6"/>
  <c r="V170" i="6"/>
  <c r="V5" i="6"/>
  <c r="V9" i="6"/>
  <c r="V13" i="6"/>
  <c r="V17" i="6"/>
  <c r="V21" i="6"/>
  <c r="V25" i="6"/>
  <c r="V29" i="6"/>
  <c r="V33" i="6"/>
  <c r="V37" i="6"/>
  <c r="V41" i="6"/>
  <c r="V45" i="6"/>
  <c r="V49" i="6"/>
  <c r="V53" i="6"/>
  <c r="V57" i="6"/>
  <c r="V61" i="6"/>
  <c r="V65" i="6"/>
  <c r="V69" i="6"/>
  <c r="V73" i="6"/>
  <c r="V77" i="6"/>
  <c r="V81" i="6"/>
  <c r="V85" i="6"/>
  <c r="V89" i="6"/>
  <c r="V93" i="6"/>
  <c r="V97" i="6"/>
  <c r="V101" i="6"/>
  <c r="V105" i="6"/>
  <c r="V109" i="6"/>
  <c r="V113" i="6"/>
  <c r="V117" i="6"/>
  <c r="V121" i="6"/>
  <c r="V125" i="6"/>
  <c r="V129" i="6"/>
  <c r="V133" i="6"/>
  <c r="V137" i="6"/>
  <c r="V141" i="6"/>
  <c r="V145" i="6"/>
  <c r="V149" i="6"/>
  <c r="V153" i="6"/>
  <c r="V157" i="6"/>
  <c r="V161" i="6"/>
  <c r="V165" i="6"/>
  <c r="V169" i="6"/>
  <c r="V172" i="6"/>
  <c r="V174" i="6"/>
  <c r="V176" i="6"/>
  <c r="V178" i="6"/>
  <c r="V180" i="6"/>
  <c r="V182" i="6"/>
  <c r="V184" i="6"/>
  <c r="V186" i="6"/>
  <c r="V188" i="6"/>
  <c r="V190" i="6"/>
  <c r="V192" i="6"/>
  <c r="V194" i="6"/>
  <c r="V196" i="6"/>
  <c r="V198" i="6"/>
  <c r="V200" i="6"/>
  <c r="V202" i="6"/>
  <c r="V204" i="6"/>
  <c r="V206" i="6"/>
  <c r="V208" i="6"/>
  <c r="V210" i="6"/>
  <c r="V212" i="6"/>
  <c r="V214" i="6"/>
  <c r="V216" i="6"/>
  <c r="V218" i="6"/>
  <c r="V220" i="6"/>
  <c r="V222" i="6"/>
  <c r="V224" i="6"/>
  <c r="V226" i="6"/>
  <c r="V228" i="6"/>
  <c r="V230" i="6"/>
  <c r="V232" i="6"/>
  <c r="V234" i="6"/>
  <c r="V236" i="6"/>
  <c r="V238" i="6"/>
  <c r="V240" i="6"/>
  <c r="V242" i="6"/>
  <c r="V244" i="6"/>
  <c r="V246" i="6"/>
  <c r="V248" i="6"/>
  <c r="V250" i="6"/>
  <c r="V252" i="6"/>
  <c r="V3" i="6"/>
  <c r="V7" i="6"/>
  <c r="V11" i="6"/>
  <c r="V19" i="6"/>
  <c r="V27" i="6"/>
  <c r="V35" i="6"/>
  <c r="V43" i="6"/>
  <c r="V51" i="6"/>
  <c r="V59" i="6"/>
  <c r="V67" i="6"/>
  <c r="V75" i="6"/>
  <c r="V83" i="6"/>
  <c r="V91" i="6"/>
  <c r="V99" i="6"/>
  <c r="V107" i="6"/>
  <c r="V115" i="6"/>
  <c r="V123" i="6"/>
  <c r="V131" i="6"/>
  <c r="V139" i="6"/>
  <c r="V147" i="6"/>
  <c r="V155" i="6"/>
  <c r="V163" i="6"/>
  <c r="V171" i="6"/>
  <c r="V175" i="6"/>
  <c r="V179" i="6"/>
  <c r="V183" i="6"/>
  <c r="V187" i="6"/>
  <c r="V191" i="6"/>
  <c r="V195" i="6"/>
  <c r="V199" i="6"/>
  <c r="V203" i="6"/>
  <c r="V207" i="6"/>
  <c r="V211" i="6"/>
  <c r="V215" i="6"/>
  <c r="V219" i="6"/>
  <c r="V223" i="6"/>
  <c r="V227" i="6"/>
  <c r="V231" i="6"/>
  <c r="V235" i="6"/>
  <c r="V239" i="6"/>
  <c r="V243" i="6"/>
  <c r="V247" i="6"/>
  <c r="V251" i="6"/>
  <c r="V15" i="6"/>
  <c r="V23" i="6"/>
  <c r="V31" i="6"/>
  <c r="V39" i="6"/>
  <c r="V47" i="6"/>
  <c r="V55" i="6"/>
  <c r="V63" i="6"/>
  <c r="V71" i="6"/>
  <c r="V79" i="6"/>
  <c r="V87" i="6"/>
  <c r="V95" i="6"/>
  <c r="V103" i="6"/>
  <c r="V111" i="6"/>
  <c r="V119" i="6"/>
  <c r="V127" i="6"/>
  <c r="V135" i="6"/>
  <c r="V143" i="6"/>
  <c r="V151" i="6"/>
  <c r="V159" i="6"/>
  <c r="V167" i="6"/>
  <c r="V173" i="6"/>
  <c r="V177" i="6"/>
  <c r="V181" i="6"/>
  <c r="V185" i="6"/>
  <c r="V189" i="6"/>
  <c r="V193" i="6"/>
  <c r="V197" i="6"/>
  <c r="V201" i="6"/>
  <c r="V205" i="6"/>
  <c r="V209" i="6"/>
  <c r="V213" i="6"/>
  <c r="V217" i="6"/>
  <c r="V221" i="6"/>
  <c r="V225" i="6"/>
  <c r="V229" i="6"/>
  <c r="V233" i="6"/>
  <c r="V237" i="6"/>
  <c r="V241" i="6"/>
  <c r="V245" i="6"/>
  <c r="V249" i="6"/>
  <c r="V253" i="6"/>
  <c r="K4" i="6"/>
  <c r="K6" i="6"/>
  <c r="K8" i="6"/>
  <c r="K10" i="6"/>
  <c r="K12" i="6"/>
  <c r="K14" i="6"/>
  <c r="K16" i="6"/>
  <c r="K18" i="6"/>
  <c r="K20" i="6"/>
  <c r="K22" i="6"/>
  <c r="K24" i="6"/>
  <c r="K26" i="6"/>
  <c r="K28" i="6"/>
  <c r="K30" i="6"/>
  <c r="K32" i="6"/>
  <c r="K34" i="6"/>
  <c r="K36" i="6"/>
  <c r="K38" i="6"/>
  <c r="K40" i="6"/>
  <c r="K42" i="6"/>
  <c r="K44" i="6"/>
  <c r="K46" i="6"/>
  <c r="K48" i="6"/>
  <c r="K50" i="6"/>
  <c r="K52" i="6"/>
  <c r="K54" i="6"/>
  <c r="K56" i="6"/>
  <c r="K58" i="6"/>
  <c r="K60" i="6"/>
  <c r="K62" i="6"/>
  <c r="K64" i="6"/>
  <c r="K66" i="6"/>
  <c r="K68" i="6"/>
  <c r="K70" i="6"/>
  <c r="K72" i="6"/>
  <c r="K74" i="6"/>
  <c r="K76" i="6"/>
  <c r="K78" i="6"/>
  <c r="K80" i="6"/>
  <c r="K82" i="6"/>
  <c r="K84" i="6"/>
  <c r="K86" i="6"/>
  <c r="K88" i="6"/>
  <c r="K90" i="6"/>
  <c r="K92" i="6"/>
  <c r="K94" i="6"/>
  <c r="K96" i="6"/>
  <c r="K98" i="6"/>
  <c r="K100" i="6"/>
  <c r="K102" i="6"/>
  <c r="K104" i="6"/>
  <c r="K106" i="6"/>
  <c r="K108" i="6"/>
  <c r="K110" i="6"/>
  <c r="K112" i="6"/>
  <c r="K114" i="6"/>
  <c r="K116" i="6"/>
  <c r="K118" i="6"/>
  <c r="K120" i="6"/>
  <c r="K122" i="6"/>
  <c r="K124" i="6"/>
  <c r="K126" i="6"/>
  <c r="K128" i="6"/>
  <c r="K130" i="6"/>
  <c r="K132" i="6"/>
  <c r="K134" i="6"/>
  <c r="K136" i="6"/>
  <c r="K138" i="6"/>
  <c r="K140" i="6"/>
  <c r="K142" i="6"/>
  <c r="K144" i="6"/>
  <c r="K146" i="6"/>
  <c r="K148" i="6"/>
  <c r="K150" i="6"/>
  <c r="K152" i="6"/>
  <c r="K154" i="6"/>
  <c r="K156" i="6"/>
  <c r="K158" i="6"/>
  <c r="K160" i="6"/>
  <c r="K162" i="6"/>
  <c r="K164" i="6"/>
  <c r="K166" i="6"/>
  <c r="K168" i="6"/>
  <c r="K170" i="6"/>
  <c r="K172" i="6"/>
  <c r="K174" i="6"/>
  <c r="K176" i="6"/>
  <c r="K178" i="6"/>
  <c r="K180" i="6"/>
  <c r="K182" i="6"/>
  <c r="K184" i="6"/>
  <c r="K186" i="6"/>
  <c r="K188" i="6"/>
  <c r="K190" i="6"/>
  <c r="K192" i="6"/>
  <c r="K194" i="6"/>
  <c r="K196" i="6"/>
  <c r="K198" i="6"/>
  <c r="K200" i="6"/>
  <c r="K202" i="6"/>
  <c r="K204" i="6"/>
  <c r="K206" i="6"/>
  <c r="K208" i="6"/>
  <c r="K210" i="6"/>
  <c r="K212" i="6"/>
  <c r="K214" i="6"/>
  <c r="K216" i="6"/>
  <c r="K218" i="6"/>
  <c r="K220" i="6"/>
  <c r="K222" i="6"/>
  <c r="K224" i="6"/>
  <c r="K226" i="6"/>
  <c r="K228" i="6"/>
  <c r="K230" i="6"/>
  <c r="K232" i="6"/>
  <c r="K234" i="6"/>
  <c r="K236" i="6"/>
  <c r="K238" i="6"/>
  <c r="K240" i="6"/>
  <c r="K242" i="6"/>
  <c r="K244" i="6"/>
  <c r="K246" i="6"/>
  <c r="K248" i="6"/>
  <c r="K250" i="6"/>
  <c r="K252" i="6"/>
  <c r="K5" i="6"/>
  <c r="K9" i="6"/>
  <c r="K13" i="6"/>
  <c r="K17" i="6"/>
  <c r="K21" i="6"/>
  <c r="K25" i="6"/>
  <c r="K29" i="6"/>
  <c r="K33" i="6"/>
  <c r="K37" i="6"/>
  <c r="K41" i="6"/>
  <c r="K45" i="6"/>
  <c r="K49" i="6"/>
  <c r="K53" i="6"/>
  <c r="K57" i="6"/>
  <c r="K61" i="6"/>
  <c r="K65" i="6"/>
  <c r="K69" i="6"/>
  <c r="K73" i="6"/>
  <c r="K77" i="6"/>
  <c r="K81" i="6"/>
  <c r="K85" i="6"/>
  <c r="K89" i="6"/>
  <c r="K93" i="6"/>
  <c r="K97" i="6"/>
  <c r="K101" i="6"/>
  <c r="K105" i="6"/>
  <c r="K109" i="6"/>
  <c r="K113" i="6"/>
  <c r="K117" i="6"/>
  <c r="K121" i="6"/>
  <c r="K125" i="6"/>
  <c r="K129" i="6"/>
  <c r="K133" i="6"/>
  <c r="K141" i="6"/>
  <c r="K145" i="6"/>
  <c r="K153" i="6"/>
  <c r="K161" i="6"/>
  <c r="K177" i="6"/>
  <c r="K189" i="6"/>
  <c r="K205" i="6"/>
  <c r="K217" i="6"/>
  <c r="K229" i="6"/>
  <c r="K249" i="6"/>
  <c r="K3" i="6"/>
  <c r="K7" i="6"/>
  <c r="K11" i="6"/>
  <c r="K15" i="6"/>
  <c r="K19" i="6"/>
  <c r="K23" i="6"/>
  <c r="K27" i="6"/>
  <c r="K31" i="6"/>
  <c r="K35" i="6"/>
  <c r="K39" i="6"/>
  <c r="K43" i="6"/>
  <c r="K47" i="6"/>
  <c r="K51" i="6"/>
  <c r="K55" i="6"/>
  <c r="K59" i="6"/>
  <c r="K63" i="6"/>
  <c r="K67" i="6"/>
  <c r="K71" i="6"/>
  <c r="K75" i="6"/>
  <c r="K79" i="6"/>
  <c r="K83" i="6"/>
  <c r="K87" i="6"/>
  <c r="K91" i="6"/>
  <c r="K95" i="6"/>
  <c r="K99" i="6"/>
  <c r="K103" i="6"/>
  <c r="K107" i="6"/>
  <c r="K111" i="6"/>
  <c r="K115" i="6"/>
  <c r="K119" i="6"/>
  <c r="K123" i="6"/>
  <c r="K127" i="6"/>
  <c r="K131" i="6"/>
  <c r="K135" i="6"/>
  <c r="K139" i="6"/>
  <c r="K143" i="6"/>
  <c r="K147" i="6"/>
  <c r="K151" i="6"/>
  <c r="K155" i="6"/>
  <c r="K159" i="6"/>
  <c r="K163" i="6"/>
  <c r="K167" i="6"/>
  <c r="K171" i="6"/>
  <c r="K175" i="6"/>
  <c r="K179" i="6"/>
  <c r="K183" i="6"/>
  <c r="K187" i="6"/>
  <c r="K191" i="6"/>
  <c r="K195" i="6"/>
  <c r="K199" i="6"/>
  <c r="K203" i="6"/>
  <c r="K207" i="6"/>
  <c r="K211" i="6"/>
  <c r="K215" i="6"/>
  <c r="K219" i="6"/>
  <c r="K223" i="6"/>
  <c r="K227" i="6"/>
  <c r="K231" i="6"/>
  <c r="K235" i="6"/>
  <c r="K239" i="6"/>
  <c r="K243" i="6"/>
  <c r="K247" i="6"/>
  <c r="K251" i="6"/>
  <c r="K137" i="6"/>
  <c r="K149" i="6"/>
  <c r="K157" i="6"/>
  <c r="K165" i="6"/>
  <c r="K169" i="6"/>
  <c r="K173" i="6"/>
  <c r="K181" i="6"/>
  <c r="K185" i="6"/>
  <c r="K193" i="6"/>
  <c r="K197" i="6"/>
  <c r="K201" i="6"/>
  <c r="K209" i="6"/>
  <c r="K213" i="6"/>
  <c r="K221" i="6"/>
  <c r="K225" i="6"/>
  <c r="K233" i="6"/>
  <c r="K237" i="6"/>
  <c r="K241" i="6"/>
  <c r="K245" i="6"/>
  <c r="K253" i="6"/>
  <c r="J4" i="6"/>
  <c r="J6" i="6"/>
  <c r="J8" i="6"/>
  <c r="J10" i="6"/>
  <c r="J12" i="6"/>
  <c r="J14" i="6"/>
  <c r="J16" i="6"/>
  <c r="J18" i="6"/>
  <c r="J20" i="6"/>
  <c r="J22" i="6"/>
  <c r="J24" i="6"/>
  <c r="J26" i="6"/>
  <c r="J28" i="6"/>
  <c r="J30" i="6"/>
  <c r="J32" i="6"/>
  <c r="J34" i="6"/>
  <c r="J36" i="6"/>
  <c r="J38" i="6"/>
  <c r="J40" i="6"/>
  <c r="J42" i="6"/>
  <c r="J44" i="6"/>
  <c r="J46" i="6"/>
  <c r="J48" i="6"/>
  <c r="J50" i="6"/>
  <c r="J52" i="6"/>
  <c r="J54" i="6"/>
  <c r="J56" i="6"/>
  <c r="J58" i="6"/>
  <c r="J60" i="6"/>
  <c r="J62" i="6"/>
  <c r="J64" i="6"/>
  <c r="J66" i="6"/>
  <c r="J68" i="6"/>
  <c r="J70" i="6"/>
  <c r="J72" i="6"/>
  <c r="J74" i="6"/>
  <c r="J76" i="6"/>
  <c r="J78" i="6"/>
  <c r="J80" i="6"/>
  <c r="J82" i="6"/>
  <c r="J84" i="6"/>
  <c r="J86" i="6"/>
  <c r="J88" i="6"/>
  <c r="J90" i="6"/>
  <c r="J92" i="6"/>
  <c r="J94" i="6"/>
  <c r="J96" i="6"/>
  <c r="J98" i="6"/>
  <c r="J100" i="6"/>
  <c r="J102" i="6"/>
  <c r="J104" i="6"/>
  <c r="J106" i="6"/>
  <c r="J108" i="6"/>
  <c r="J110" i="6"/>
  <c r="J112" i="6"/>
  <c r="J114" i="6"/>
  <c r="J116" i="6"/>
  <c r="J118" i="6"/>
  <c r="J120" i="6"/>
  <c r="J122" i="6"/>
  <c r="J124" i="6"/>
  <c r="J126" i="6"/>
  <c r="J128" i="6"/>
  <c r="J130" i="6"/>
  <c r="J132" i="6"/>
  <c r="J134" i="6"/>
  <c r="J136" i="6"/>
  <c r="J138" i="6"/>
  <c r="J140" i="6"/>
  <c r="J142" i="6"/>
  <c r="J144" i="6"/>
  <c r="J146" i="6"/>
  <c r="J148" i="6"/>
  <c r="J150" i="6"/>
  <c r="J152" i="6"/>
  <c r="J154" i="6"/>
  <c r="J156" i="6"/>
  <c r="J158" i="6"/>
  <c r="J160" i="6"/>
  <c r="J162" i="6"/>
  <c r="J164" i="6"/>
  <c r="J166" i="6"/>
  <c r="J168" i="6"/>
  <c r="J170" i="6"/>
  <c r="J172" i="6"/>
  <c r="J174" i="6"/>
  <c r="J176" i="6"/>
  <c r="J178" i="6"/>
  <c r="J180" i="6"/>
  <c r="J182" i="6"/>
  <c r="J184" i="6"/>
  <c r="J186" i="6"/>
  <c r="J188" i="6"/>
  <c r="J190" i="6"/>
  <c r="J192" i="6"/>
  <c r="J194" i="6"/>
  <c r="J196" i="6"/>
  <c r="J198" i="6"/>
  <c r="J200" i="6"/>
  <c r="J202" i="6"/>
  <c r="J204" i="6"/>
  <c r="J206" i="6"/>
  <c r="J208" i="6"/>
  <c r="J210" i="6"/>
  <c r="J212" i="6"/>
  <c r="J214" i="6"/>
  <c r="J216" i="6"/>
  <c r="J218" i="6"/>
  <c r="J220" i="6"/>
  <c r="J222" i="6"/>
  <c r="J224" i="6"/>
  <c r="J226" i="6"/>
  <c r="J228" i="6"/>
  <c r="J230" i="6"/>
  <c r="J232" i="6"/>
  <c r="J234" i="6"/>
  <c r="J236" i="6"/>
  <c r="J238" i="6"/>
  <c r="J240" i="6"/>
  <c r="J242" i="6"/>
  <c r="J244" i="6"/>
  <c r="J246" i="6"/>
  <c r="J248" i="6"/>
  <c r="J250" i="6"/>
  <c r="J252" i="6"/>
  <c r="J5" i="6"/>
  <c r="J9" i="6"/>
  <c r="J13" i="6"/>
  <c r="J17" i="6"/>
  <c r="J21" i="6"/>
  <c r="J25" i="6"/>
  <c r="J29" i="6"/>
  <c r="J33" i="6"/>
  <c r="J37" i="6"/>
  <c r="J41" i="6"/>
  <c r="J45" i="6"/>
  <c r="J49" i="6"/>
  <c r="J53" i="6"/>
  <c r="J57" i="6"/>
  <c r="J61" i="6"/>
  <c r="J65" i="6"/>
  <c r="J69" i="6"/>
  <c r="J73" i="6"/>
  <c r="J77" i="6"/>
  <c r="J81" i="6"/>
  <c r="J85" i="6"/>
  <c r="J89" i="6"/>
  <c r="J93" i="6"/>
  <c r="J97" i="6"/>
  <c r="J101" i="6"/>
  <c r="J105" i="6"/>
  <c r="J109" i="6"/>
  <c r="J113" i="6"/>
  <c r="J117" i="6"/>
  <c r="J121" i="6"/>
  <c r="J125" i="6"/>
  <c r="J129" i="6"/>
  <c r="J133" i="6"/>
  <c r="J137" i="6"/>
  <c r="J141" i="6"/>
  <c r="J145" i="6"/>
  <c r="J149" i="6"/>
  <c r="J153" i="6"/>
  <c r="J157" i="6"/>
  <c r="J161" i="6"/>
  <c r="J165" i="6"/>
  <c r="J169" i="6"/>
  <c r="J173" i="6"/>
  <c r="J177" i="6"/>
  <c r="J181" i="6"/>
  <c r="J185" i="6"/>
  <c r="J189" i="6"/>
  <c r="J193" i="6"/>
  <c r="J197" i="6"/>
  <c r="J201" i="6"/>
  <c r="J205" i="6"/>
  <c r="J209" i="6"/>
  <c r="J213" i="6"/>
  <c r="J217" i="6"/>
  <c r="J221" i="6"/>
  <c r="J225" i="6"/>
  <c r="J229" i="6"/>
  <c r="J233" i="6"/>
  <c r="J237" i="6"/>
  <c r="J241" i="6"/>
  <c r="J245" i="6"/>
  <c r="J249" i="6"/>
  <c r="J253" i="6"/>
  <c r="J3" i="6"/>
  <c r="J7" i="6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87" i="6"/>
  <c r="J91" i="6"/>
  <c r="J95" i="6"/>
  <c r="J99" i="6"/>
  <c r="J103" i="6"/>
  <c r="J107" i="6"/>
  <c r="J111" i="6"/>
  <c r="J115" i="6"/>
  <c r="J119" i="6"/>
  <c r="J123" i="6"/>
  <c r="J127" i="6"/>
  <c r="J131" i="6"/>
  <c r="J135" i="6"/>
  <c r="J139" i="6"/>
  <c r="J143" i="6"/>
  <c r="J147" i="6"/>
  <c r="J151" i="6"/>
  <c r="J155" i="6"/>
  <c r="J159" i="6"/>
  <c r="J163" i="6"/>
  <c r="J167" i="6"/>
  <c r="J171" i="6"/>
  <c r="J175" i="6"/>
  <c r="J179" i="6"/>
  <c r="J183" i="6"/>
  <c r="J187" i="6"/>
  <c r="J191" i="6"/>
  <c r="J195" i="6"/>
  <c r="J199" i="6"/>
  <c r="J203" i="6"/>
  <c r="J207" i="6"/>
  <c r="J211" i="6"/>
  <c r="J215" i="6"/>
  <c r="J219" i="6"/>
  <c r="J223" i="6"/>
  <c r="J227" i="6"/>
  <c r="J231" i="6"/>
  <c r="J235" i="6"/>
  <c r="J239" i="6"/>
  <c r="J243" i="6"/>
  <c r="J247" i="6"/>
  <c r="J251" i="6"/>
  <c r="I4" i="6"/>
  <c r="I6" i="6"/>
  <c r="I8" i="6"/>
  <c r="I10" i="6"/>
  <c r="I12" i="6"/>
  <c r="I14" i="6"/>
  <c r="I16" i="6"/>
  <c r="I18" i="6"/>
  <c r="I20" i="6"/>
  <c r="I22" i="6"/>
  <c r="I24" i="6"/>
  <c r="I26" i="6"/>
  <c r="I28" i="6"/>
  <c r="I30" i="6"/>
  <c r="I32" i="6"/>
  <c r="I34" i="6"/>
  <c r="I36" i="6"/>
  <c r="I38" i="6"/>
  <c r="I40" i="6"/>
  <c r="I42" i="6"/>
  <c r="I44" i="6"/>
  <c r="I46" i="6"/>
  <c r="I48" i="6"/>
  <c r="I50" i="6"/>
  <c r="I52" i="6"/>
  <c r="I54" i="6"/>
  <c r="I56" i="6"/>
  <c r="I58" i="6"/>
  <c r="I60" i="6"/>
  <c r="I62" i="6"/>
  <c r="I64" i="6"/>
  <c r="I66" i="6"/>
  <c r="I68" i="6"/>
  <c r="I70" i="6"/>
  <c r="I72" i="6"/>
  <c r="I74" i="6"/>
  <c r="I76" i="6"/>
  <c r="I78" i="6"/>
  <c r="I80" i="6"/>
  <c r="I82" i="6"/>
  <c r="I84" i="6"/>
  <c r="I86" i="6"/>
  <c r="I88" i="6"/>
  <c r="I90" i="6"/>
  <c r="I92" i="6"/>
  <c r="I94" i="6"/>
  <c r="I96" i="6"/>
  <c r="I98" i="6"/>
  <c r="I100" i="6"/>
  <c r="I102" i="6"/>
  <c r="I104" i="6"/>
  <c r="I106" i="6"/>
  <c r="I108" i="6"/>
  <c r="I110" i="6"/>
  <c r="I112" i="6"/>
  <c r="I114" i="6"/>
  <c r="I116" i="6"/>
  <c r="I118" i="6"/>
  <c r="I120" i="6"/>
  <c r="I122" i="6"/>
  <c r="I124" i="6"/>
  <c r="I126" i="6"/>
  <c r="I128" i="6"/>
  <c r="I130" i="6"/>
  <c r="I132" i="6"/>
  <c r="I134" i="6"/>
  <c r="I136" i="6"/>
  <c r="I138" i="6"/>
  <c r="I140" i="6"/>
  <c r="I142" i="6"/>
  <c r="I144" i="6"/>
  <c r="I146" i="6"/>
  <c r="I148" i="6"/>
  <c r="I150" i="6"/>
  <c r="I152" i="6"/>
  <c r="I154" i="6"/>
  <c r="I156" i="6"/>
  <c r="I158" i="6"/>
  <c r="I160" i="6"/>
  <c r="I162" i="6"/>
  <c r="I164" i="6"/>
  <c r="I166" i="6"/>
  <c r="I168" i="6"/>
  <c r="I170" i="6"/>
  <c r="I172" i="6"/>
  <c r="I174" i="6"/>
  <c r="I176" i="6"/>
  <c r="I178" i="6"/>
  <c r="I180" i="6"/>
  <c r="I182" i="6"/>
  <c r="I184" i="6"/>
  <c r="I186" i="6"/>
  <c r="I188" i="6"/>
  <c r="I190" i="6"/>
  <c r="I192" i="6"/>
  <c r="I194" i="6"/>
  <c r="I196" i="6"/>
  <c r="I198" i="6"/>
  <c r="I200" i="6"/>
  <c r="I202" i="6"/>
  <c r="I204" i="6"/>
  <c r="I206" i="6"/>
  <c r="I208" i="6"/>
  <c r="I210" i="6"/>
  <c r="I212" i="6"/>
  <c r="I214" i="6"/>
  <c r="I216" i="6"/>
  <c r="I218" i="6"/>
  <c r="I220" i="6"/>
  <c r="I222" i="6"/>
  <c r="I224" i="6"/>
  <c r="I226" i="6"/>
  <c r="I228" i="6"/>
  <c r="I230" i="6"/>
  <c r="I232" i="6"/>
  <c r="I234" i="6"/>
  <c r="I236" i="6"/>
  <c r="I238" i="6"/>
  <c r="I240" i="6"/>
  <c r="I242" i="6"/>
  <c r="I244" i="6"/>
  <c r="I246" i="6"/>
  <c r="I248" i="6"/>
  <c r="I250" i="6"/>
  <c r="I252" i="6"/>
  <c r="I3" i="6"/>
  <c r="I5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33" i="6"/>
  <c r="I35" i="6"/>
  <c r="I37" i="6"/>
  <c r="I39" i="6"/>
  <c r="I41" i="6"/>
  <c r="I43" i="6"/>
  <c r="I45" i="6"/>
  <c r="I47" i="6"/>
  <c r="I49" i="6"/>
  <c r="I51" i="6"/>
  <c r="I53" i="6"/>
  <c r="I55" i="6"/>
  <c r="I57" i="6"/>
  <c r="I59" i="6"/>
  <c r="I61" i="6"/>
  <c r="I63" i="6"/>
  <c r="I65" i="6"/>
  <c r="I67" i="6"/>
  <c r="I69" i="6"/>
  <c r="I71" i="6"/>
  <c r="I73" i="6"/>
  <c r="I75" i="6"/>
  <c r="I77" i="6"/>
  <c r="I79" i="6"/>
  <c r="I81" i="6"/>
  <c r="I83" i="6"/>
  <c r="I85" i="6"/>
  <c r="I87" i="6"/>
  <c r="I89" i="6"/>
  <c r="I91" i="6"/>
  <c r="I93" i="6"/>
  <c r="I95" i="6"/>
  <c r="I97" i="6"/>
  <c r="I99" i="6"/>
  <c r="I101" i="6"/>
  <c r="I103" i="6"/>
  <c r="I105" i="6"/>
  <c r="I107" i="6"/>
  <c r="I109" i="6"/>
  <c r="I111" i="6"/>
  <c r="I113" i="6"/>
  <c r="I115" i="6"/>
  <c r="I117" i="6"/>
  <c r="I119" i="6"/>
  <c r="I121" i="6"/>
  <c r="I123" i="6"/>
  <c r="I125" i="6"/>
  <c r="I127" i="6"/>
  <c r="I129" i="6"/>
  <c r="I131" i="6"/>
  <c r="I133" i="6"/>
  <c r="I135" i="6"/>
  <c r="I137" i="6"/>
  <c r="I139" i="6"/>
  <c r="I141" i="6"/>
  <c r="I143" i="6"/>
  <c r="I145" i="6"/>
  <c r="I147" i="6"/>
  <c r="I149" i="6"/>
  <c r="I151" i="6"/>
  <c r="I153" i="6"/>
  <c r="I155" i="6"/>
  <c r="I157" i="6"/>
  <c r="I159" i="6"/>
  <c r="I161" i="6"/>
  <c r="I163" i="6"/>
  <c r="I165" i="6"/>
  <c r="I167" i="6"/>
  <c r="I169" i="6"/>
  <c r="I171" i="6"/>
  <c r="I173" i="6"/>
  <c r="I175" i="6"/>
  <c r="I177" i="6"/>
  <c r="I179" i="6"/>
  <c r="I181" i="6"/>
  <c r="I183" i="6"/>
  <c r="I185" i="6"/>
  <c r="I187" i="6"/>
  <c r="I189" i="6"/>
  <c r="I191" i="6"/>
  <c r="I193" i="6"/>
  <c r="I195" i="6"/>
  <c r="I197" i="6"/>
  <c r="I199" i="6"/>
  <c r="I201" i="6"/>
  <c r="I203" i="6"/>
  <c r="I205" i="6"/>
  <c r="I207" i="6"/>
  <c r="I209" i="6"/>
  <c r="I211" i="6"/>
  <c r="I213" i="6"/>
  <c r="I215" i="6"/>
  <c r="I217" i="6"/>
  <c r="I219" i="6"/>
  <c r="I221" i="6"/>
  <c r="I223" i="6"/>
  <c r="I225" i="6"/>
  <c r="I227" i="6"/>
  <c r="I229" i="6"/>
  <c r="I231" i="6"/>
  <c r="I233" i="6"/>
  <c r="I235" i="6"/>
  <c r="I237" i="6"/>
  <c r="I239" i="6"/>
  <c r="I241" i="6"/>
  <c r="I243" i="6"/>
  <c r="I245" i="6"/>
  <c r="I249" i="6"/>
  <c r="I253" i="6"/>
  <c r="I247" i="6"/>
  <c r="I251" i="6"/>
  <c r="D3" i="6"/>
  <c r="D5" i="6"/>
  <c r="D7" i="6"/>
  <c r="D9" i="6"/>
  <c r="D11" i="6"/>
  <c r="D13" i="6"/>
  <c r="D15" i="6"/>
  <c r="D17" i="6"/>
  <c r="D19" i="6"/>
  <c r="D21" i="6"/>
  <c r="D23" i="6"/>
  <c r="D25" i="6"/>
  <c r="D27" i="6"/>
  <c r="D29" i="6"/>
  <c r="D31" i="6"/>
  <c r="D33" i="6"/>
  <c r="D35" i="6"/>
  <c r="D37" i="6"/>
  <c r="D39" i="6"/>
  <c r="D41" i="6"/>
  <c r="D43" i="6"/>
  <c r="D45" i="6"/>
  <c r="D47" i="6"/>
  <c r="D49" i="6"/>
  <c r="D51" i="6"/>
  <c r="D53" i="6"/>
  <c r="D55" i="6"/>
  <c r="D57" i="6"/>
  <c r="D59" i="6"/>
  <c r="D61" i="6"/>
  <c r="D63" i="6"/>
  <c r="D65" i="6"/>
  <c r="D67" i="6"/>
  <c r="D69" i="6"/>
  <c r="D71" i="6"/>
  <c r="D73" i="6"/>
  <c r="D75" i="6"/>
  <c r="D77" i="6"/>
  <c r="D79" i="6"/>
  <c r="D81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D117" i="6"/>
  <c r="D119" i="6"/>
  <c r="D121" i="6"/>
  <c r="D123" i="6"/>
  <c r="D125" i="6"/>
  <c r="D127" i="6"/>
  <c r="D129" i="6"/>
  <c r="D131" i="6"/>
  <c r="D133" i="6"/>
  <c r="D135" i="6"/>
  <c r="D137" i="6"/>
  <c r="D139" i="6"/>
  <c r="D141" i="6"/>
  <c r="D143" i="6"/>
  <c r="D145" i="6"/>
  <c r="D147" i="6"/>
  <c r="D149" i="6"/>
  <c r="D151" i="6"/>
  <c r="D153" i="6"/>
  <c r="D155" i="6"/>
  <c r="D157" i="6"/>
  <c r="D159" i="6"/>
  <c r="D161" i="6"/>
  <c r="D163" i="6"/>
  <c r="D165" i="6"/>
  <c r="D167" i="6"/>
  <c r="D169" i="6"/>
  <c r="D171" i="6"/>
  <c r="D173" i="6"/>
  <c r="D4" i="6"/>
  <c r="D8" i="6"/>
  <c r="D12" i="6"/>
  <c r="D16" i="6"/>
  <c r="D20" i="6"/>
  <c r="D24" i="6"/>
  <c r="D28" i="6"/>
  <c r="D32" i="6"/>
  <c r="D36" i="6"/>
  <c r="D40" i="6"/>
  <c r="D44" i="6"/>
  <c r="D48" i="6"/>
  <c r="D52" i="6"/>
  <c r="D56" i="6"/>
  <c r="D60" i="6"/>
  <c r="D64" i="6"/>
  <c r="D68" i="6"/>
  <c r="D72" i="6"/>
  <c r="D76" i="6"/>
  <c r="D80" i="6"/>
  <c r="D84" i="6"/>
  <c r="D88" i="6"/>
  <c r="D92" i="6"/>
  <c r="D96" i="6"/>
  <c r="D100" i="6"/>
  <c r="D104" i="6"/>
  <c r="D108" i="6"/>
  <c r="D112" i="6"/>
  <c r="D116" i="6"/>
  <c r="D120" i="6"/>
  <c r="D124" i="6"/>
  <c r="D128" i="6"/>
  <c r="D132" i="6"/>
  <c r="D136" i="6"/>
  <c r="D140" i="6"/>
  <c r="D144" i="6"/>
  <c r="D148" i="6"/>
  <c r="D152" i="6"/>
  <c r="D156" i="6"/>
  <c r="D160" i="6"/>
  <c r="D164" i="6"/>
  <c r="D168" i="6"/>
  <c r="D172" i="6"/>
  <c r="D175" i="6"/>
  <c r="D177" i="6"/>
  <c r="D179" i="6"/>
  <c r="D181" i="6"/>
  <c r="D183" i="6"/>
  <c r="D185" i="6"/>
  <c r="D187" i="6"/>
  <c r="D189" i="6"/>
  <c r="D191" i="6"/>
  <c r="D193" i="6"/>
  <c r="D195" i="6"/>
  <c r="D197" i="6"/>
  <c r="D199" i="6"/>
  <c r="D201" i="6"/>
  <c r="D203" i="6"/>
  <c r="D205" i="6"/>
  <c r="D207" i="6"/>
  <c r="D209" i="6"/>
  <c r="D211" i="6"/>
  <c r="D213" i="6"/>
  <c r="D215" i="6"/>
  <c r="D217" i="6"/>
  <c r="D219" i="6"/>
  <c r="D221" i="6"/>
  <c r="D223" i="6"/>
  <c r="D225" i="6"/>
  <c r="D227" i="6"/>
  <c r="D229" i="6"/>
  <c r="D231" i="6"/>
  <c r="D233" i="6"/>
  <c r="D235" i="6"/>
  <c r="D237" i="6"/>
  <c r="D239" i="6"/>
  <c r="D241" i="6"/>
  <c r="D243" i="6"/>
  <c r="D245" i="6"/>
  <c r="D247" i="6"/>
  <c r="D249" i="6"/>
  <c r="D251" i="6"/>
  <c r="D253" i="6"/>
  <c r="D6" i="6"/>
  <c r="D14" i="6"/>
  <c r="D22" i="6"/>
  <c r="D30" i="6"/>
  <c r="D38" i="6"/>
  <c r="D46" i="6"/>
  <c r="D54" i="6"/>
  <c r="D62" i="6"/>
  <c r="D70" i="6"/>
  <c r="D78" i="6"/>
  <c r="D86" i="6"/>
  <c r="D94" i="6"/>
  <c r="D102" i="6"/>
  <c r="D110" i="6"/>
  <c r="D118" i="6"/>
  <c r="D126" i="6"/>
  <c r="D134" i="6"/>
  <c r="D142" i="6"/>
  <c r="D150" i="6"/>
  <c r="D158" i="6"/>
  <c r="D166" i="6"/>
  <c r="D174" i="6"/>
  <c r="D178" i="6"/>
  <c r="D182" i="6"/>
  <c r="D186" i="6"/>
  <c r="D190" i="6"/>
  <c r="D194" i="6"/>
  <c r="D198" i="6"/>
  <c r="D202" i="6"/>
  <c r="D206" i="6"/>
  <c r="D210" i="6"/>
  <c r="D214" i="6"/>
  <c r="D218" i="6"/>
  <c r="D222" i="6"/>
  <c r="D226" i="6"/>
  <c r="D230" i="6"/>
  <c r="D234" i="6"/>
  <c r="D238" i="6"/>
  <c r="D242" i="6"/>
  <c r="D246" i="6"/>
  <c r="D250" i="6"/>
  <c r="D10" i="6"/>
  <c r="D18" i="6"/>
  <c r="D26" i="6"/>
  <c r="D34" i="6"/>
  <c r="D42" i="6"/>
  <c r="D50" i="6"/>
  <c r="D58" i="6"/>
  <c r="D66" i="6"/>
  <c r="D74" i="6"/>
  <c r="D82" i="6"/>
  <c r="D90" i="6"/>
  <c r="D98" i="6"/>
  <c r="D106" i="6"/>
  <c r="D114" i="6"/>
  <c r="D122" i="6"/>
  <c r="D130" i="6"/>
  <c r="D138" i="6"/>
  <c r="D146" i="6"/>
  <c r="D154" i="6"/>
  <c r="D162" i="6"/>
  <c r="D170" i="6"/>
  <c r="D176" i="6"/>
  <c r="D180" i="6"/>
  <c r="D184" i="6"/>
  <c r="D188" i="6"/>
  <c r="D192" i="6"/>
  <c r="D196" i="6"/>
  <c r="D200" i="6"/>
  <c r="D204" i="6"/>
  <c r="D208" i="6"/>
  <c r="D212" i="6"/>
  <c r="D216" i="6"/>
  <c r="D220" i="6"/>
  <c r="D224" i="6"/>
  <c r="D228" i="6"/>
  <c r="D232" i="6"/>
  <c r="D236" i="6"/>
  <c r="D240" i="6"/>
  <c r="D244" i="6"/>
  <c r="D248" i="6"/>
  <c r="D252" i="6"/>
  <c r="H4" i="6"/>
  <c r="H6" i="6"/>
  <c r="H8" i="6"/>
  <c r="H10" i="6"/>
  <c r="H12" i="6"/>
  <c r="H14" i="6"/>
  <c r="H16" i="6"/>
  <c r="H18" i="6"/>
  <c r="H20" i="6"/>
  <c r="H22" i="6"/>
  <c r="H24" i="6"/>
  <c r="H26" i="6"/>
  <c r="H28" i="6"/>
  <c r="H30" i="6"/>
  <c r="H32" i="6"/>
  <c r="H34" i="6"/>
  <c r="H36" i="6"/>
  <c r="H38" i="6"/>
  <c r="H40" i="6"/>
  <c r="H42" i="6"/>
  <c r="H3" i="6"/>
  <c r="H5" i="6"/>
  <c r="H7" i="6"/>
  <c r="H9" i="6"/>
  <c r="H11" i="6"/>
  <c r="H13" i="6"/>
  <c r="H15" i="6"/>
  <c r="H17" i="6"/>
  <c r="H19" i="6"/>
  <c r="H21" i="6"/>
  <c r="H23" i="6"/>
  <c r="H25" i="6"/>
  <c r="H27" i="6"/>
  <c r="H29" i="6"/>
  <c r="H31" i="6"/>
  <c r="H33" i="6"/>
  <c r="H35" i="6"/>
  <c r="H37" i="6"/>
  <c r="H39" i="6"/>
  <c r="H41" i="6"/>
  <c r="H43" i="6"/>
  <c r="H45" i="6"/>
  <c r="H47" i="6"/>
  <c r="H49" i="6"/>
  <c r="H51" i="6"/>
  <c r="H53" i="6"/>
  <c r="H55" i="6"/>
  <c r="H57" i="6"/>
  <c r="H59" i="6"/>
  <c r="H61" i="6"/>
  <c r="H63" i="6"/>
  <c r="H65" i="6"/>
  <c r="H67" i="6"/>
  <c r="H69" i="6"/>
  <c r="H71" i="6"/>
  <c r="H73" i="6"/>
  <c r="H75" i="6"/>
  <c r="H77" i="6"/>
  <c r="H79" i="6"/>
  <c r="H81" i="6"/>
  <c r="H83" i="6"/>
  <c r="H85" i="6"/>
  <c r="H87" i="6"/>
  <c r="H89" i="6"/>
  <c r="H91" i="6"/>
  <c r="H93" i="6"/>
  <c r="H95" i="6"/>
  <c r="H44" i="6"/>
  <c r="H48" i="6"/>
  <c r="H52" i="6"/>
  <c r="H56" i="6"/>
  <c r="H60" i="6"/>
  <c r="H64" i="6"/>
  <c r="H68" i="6"/>
  <c r="H72" i="6"/>
  <c r="H76" i="6"/>
  <c r="H80" i="6"/>
  <c r="H84" i="6"/>
  <c r="H88" i="6"/>
  <c r="H92" i="6"/>
  <c r="H96" i="6"/>
  <c r="H98" i="6"/>
  <c r="H100" i="6"/>
  <c r="H102" i="6"/>
  <c r="H104" i="6"/>
  <c r="H106" i="6"/>
  <c r="H108" i="6"/>
  <c r="H110" i="6"/>
  <c r="H112" i="6"/>
  <c r="H114" i="6"/>
  <c r="H116" i="6"/>
  <c r="H118" i="6"/>
  <c r="H120" i="6"/>
  <c r="H122" i="6"/>
  <c r="H124" i="6"/>
  <c r="H126" i="6"/>
  <c r="H128" i="6"/>
  <c r="H130" i="6"/>
  <c r="H132" i="6"/>
  <c r="H134" i="6"/>
  <c r="H136" i="6"/>
  <c r="H138" i="6"/>
  <c r="H140" i="6"/>
  <c r="H142" i="6"/>
  <c r="H144" i="6"/>
  <c r="H146" i="6"/>
  <c r="H148" i="6"/>
  <c r="H150" i="6"/>
  <c r="H152" i="6"/>
  <c r="H154" i="6"/>
  <c r="H156" i="6"/>
  <c r="H158" i="6"/>
  <c r="H160" i="6"/>
  <c r="H162" i="6"/>
  <c r="H164" i="6"/>
  <c r="H166" i="6"/>
  <c r="H168" i="6"/>
  <c r="H170" i="6"/>
  <c r="H172" i="6"/>
  <c r="H174" i="6"/>
  <c r="H176" i="6"/>
  <c r="H178" i="6"/>
  <c r="H180" i="6"/>
  <c r="H182" i="6"/>
  <c r="H184" i="6"/>
  <c r="H186" i="6"/>
  <c r="H188" i="6"/>
  <c r="H190" i="6"/>
  <c r="H192" i="6"/>
  <c r="H194" i="6"/>
  <c r="H196" i="6"/>
  <c r="H198" i="6"/>
  <c r="H200" i="6"/>
  <c r="H202" i="6"/>
  <c r="H204" i="6"/>
  <c r="H206" i="6"/>
  <c r="H208" i="6"/>
  <c r="H210" i="6"/>
  <c r="H212" i="6"/>
  <c r="H214" i="6"/>
  <c r="H216" i="6"/>
  <c r="H218" i="6"/>
  <c r="H220" i="6"/>
  <c r="H222" i="6"/>
  <c r="H224" i="6"/>
  <c r="H226" i="6"/>
  <c r="H228" i="6"/>
  <c r="H230" i="6"/>
  <c r="H232" i="6"/>
  <c r="H234" i="6"/>
  <c r="H236" i="6"/>
  <c r="H238" i="6"/>
  <c r="H240" i="6"/>
  <c r="H242" i="6"/>
  <c r="H244" i="6"/>
  <c r="H246" i="6"/>
  <c r="H248" i="6"/>
  <c r="H250" i="6"/>
  <c r="H252" i="6"/>
  <c r="H46" i="6"/>
  <c r="H50" i="6"/>
  <c r="H54" i="6"/>
  <c r="H58" i="6"/>
  <c r="H62" i="6"/>
  <c r="H66" i="6"/>
  <c r="H70" i="6"/>
  <c r="H74" i="6"/>
  <c r="H78" i="6"/>
  <c r="H82" i="6"/>
  <c r="H86" i="6"/>
  <c r="H90" i="6"/>
  <c r="H94" i="6"/>
  <c r="H97" i="6"/>
  <c r="H99" i="6"/>
  <c r="H101" i="6"/>
  <c r="H103" i="6"/>
  <c r="H105" i="6"/>
  <c r="H107" i="6"/>
  <c r="H109" i="6"/>
  <c r="H111" i="6"/>
  <c r="H113" i="6"/>
  <c r="H115" i="6"/>
  <c r="H117" i="6"/>
  <c r="H119" i="6"/>
  <c r="H121" i="6"/>
  <c r="H123" i="6"/>
  <c r="H125" i="6"/>
  <c r="H127" i="6"/>
  <c r="H129" i="6"/>
  <c r="H131" i="6"/>
  <c r="H133" i="6"/>
  <c r="H135" i="6"/>
  <c r="H137" i="6"/>
  <c r="H139" i="6"/>
  <c r="H141" i="6"/>
  <c r="H143" i="6"/>
  <c r="H145" i="6"/>
  <c r="H147" i="6"/>
  <c r="H149" i="6"/>
  <c r="H151" i="6"/>
  <c r="H153" i="6"/>
  <c r="H155" i="6"/>
  <c r="H157" i="6"/>
  <c r="H159" i="6"/>
  <c r="H161" i="6"/>
  <c r="H163" i="6"/>
  <c r="H165" i="6"/>
  <c r="H167" i="6"/>
  <c r="H169" i="6"/>
  <c r="H171" i="6"/>
  <c r="H173" i="6"/>
  <c r="H175" i="6"/>
  <c r="H177" i="6"/>
  <c r="H179" i="6"/>
  <c r="H181" i="6"/>
  <c r="H183" i="6"/>
  <c r="H185" i="6"/>
  <c r="H187" i="6"/>
  <c r="H189" i="6"/>
  <c r="H191" i="6"/>
  <c r="H193" i="6"/>
  <c r="H195" i="6"/>
  <c r="H197" i="6"/>
  <c r="H199" i="6"/>
  <c r="H201" i="6"/>
  <c r="H203" i="6"/>
  <c r="H205" i="6"/>
  <c r="H207" i="6"/>
  <c r="H209" i="6"/>
  <c r="H211" i="6"/>
  <c r="H213" i="6"/>
  <c r="H215" i="6"/>
  <c r="H217" i="6"/>
  <c r="H219" i="6"/>
  <c r="H221" i="6"/>
  <c r="H223" i="6"/>
  <c r="H225" i="6"/>
  <c r="H227" i="6"/>
  <c r="H229" i="6"/>
  <c r="H231" i="6"/>
  <c r="H233" i="6"/>
  <c r="H235" i="6"/>
  <c r="H237" i="6"/>
  <c r="H239" i="6"/>
  <c r="H241" i="6"/>
  <c r="H243" i="6"/>
  <c r="H245" i="6"/>
  <c r="H247" i="6"/>
  <c r="H249" i="6"/>
  <c r="H251" i="6"/>
  <c r="H253" i="6"/>
  <c r="G4" i="6"/>
  <c r="G6" i="6"/>
  <c r="G8" i="6"/>
  <c r="G10" i="6"/>
  <c r="G12" i="6"/>
  <c r="G14" i="6"/>
  <c r="G16" i="6"/>
  <c r="G18" i="6"/>
  <c r="G20" i="6"/>
  <c r="G22" i="6"/>
  <c r="G24" i="6"/>
  <c r="G26" i="6"/>
  <c r="G28" i="6"/>
  <c r="G30" i="6"/>
  <c r="G32" i="6"/>
  <c r="G34" i="6"/>
  <c r="G36" i="6"/>
  <c r="G38" i="6"/>
  <c r="G40" i="6"/>
  <c r="G42" i="6"/>
  <c r="G44" i="6"/>
  <c r="G46" i="6"/>
  <c r="G48" i="6"/>
  <c r="G50" i="6"/>
  <c r="G52" i="6"/>
  <c r="G54" i="6"/>
  <c r="G56" i="6"/>
  <c r="G58" i="6"/>
  <c r="G60" i="6"/>
  <c r="G62" i="6"/>
  <c r="G64" i="6"/>
  <c r="G66" i="6"/>
  <c r="G68" i="6"/>
  <c r="G70" i="6"/>
  <c r="G72" i="6"/>
  <c r="G74" i="6"/>
  <c r="G76" i="6"/>
  <c r="G78" i="6"/>
  <c r="G80" i="6"/>
  <c r="G82" i="6"/>
  <c r="G84" i="6"/>
  <c r="G86" i="6"/>
  <c r="G88" i="6"/>
  <c r="G90" i="6"/>
  <c r="G92" i="6"/>
  <c r="G94" i="6"/>
  <c r="G96" i="6"/>
  <c r="G98" i="6"/>
  <c r="G100" i="6"/>
  <c r="G102" i="6"/>
  <c r="G104" i="6"/>
  <c r="G106" i="6"/>
  <c r="G108" i="6"/>
  <c r="G110" i="6"/>
  <c r="G112" i="6"/>
  <c r="G114" i="6"/>
  <c r="G116" i="6"/>
  <c r="G118" i="6"/>
  <c r="G120" i="6"/>
  <c r="G122" i="6"/>
  <c r="G124" i="6"/>
  <c r="G126" i="6"/>
  <c r="G128" i="6"/>
  <c r="G130" i="6"/>
  <c r="G132" i="6"/>
  <c r="G134" i="6"/>
  <c r="G136" i="6"/>
  <c r="G138" i="6"/>
  <c r="G140" i="6"/>
  <c r="G142" i="6"/>
  <c r="G144" i="6"/>
  <c r="G146" i="6"/>
  <c r="G148" i="6"/>
  <c r="G150" i="6"/>
  <c r="G152" i="6"/>
  <c r="G154" i="6"/>
  <c r="G156" i="6"/>
  <c r="G158" i="6"/>
  <c r="G160" i="6"/>
  <c r="G162" i="6"/>
  <c r="G164" i="6"/>
  <c r="G166" i="6"/>
  <c r="G168" i="6"/>
  <c r="G170" i="6"/>
  <c r="G172" i="6"/>
  <c r="G174" i="6"/>
  <c r="G176" i="6"/>
  <c r="G178" i="6"/>
  <c r="G180" i="6"/>
  <c r="G182" i="6"/>
  <c r="G184" i="6"/>
  <c r="G186" i="6"/>
  <c r="G188" i="6"/>
  <c r="G190" i="6"/>
  <c r="G192" i="6"/>
  <c r="G194" i="6"/>
  <c r="G196" i="6"/>
  <c r="G198" i="6"/>
  <c r="G200" i="6"/>
  <c r="G202" i="6"/>
  <c r="G204" i="6"/>
  <c r="G206" i="6"/>
  <c r="G208" i="6"/>
  <c r="G210" i="6"/>
  <c r="G212" i="6"/>
  <c r="G214" i="6"/>
  <c r="G216" i="6"/>
  <c r="G218" i="6"/>
  <c r="G220" i="6"/>
  <c r="G222" i="6"/>
  <c r="G224" i="6"/>
  <c r="G226" i="6"/>
  <c r="G228" i="6"/>
  <c r="G230" i="6"/>
  <c r="G232" i="6"/>
  <c r="G234" i="6"/>
  <c r="G236" i="6"/>
  <c r="G238" i="6"/>
  <c r="G240" i="6"/>
  <c r="G242" i="6"/>
  <c r="G244" i="6"/>
  <c r="G246" i="6"/>
  <c r="G248" i="6"/>
  <c r="G250" i="6"/>
  <c r="G252" i="6"/>
  <c r="G5" i="6"/>
  <c r="G9" i="6"/>
  <c r="G13" i="6"/>
  <c r="G17" i="6"/>
  <c r="G21" i="6"/>
  <c r="G25" i="6"/>
  <c r="G29" i="6"/>
  <c r="G33" i="6"/>
  <c r="G37" i="6"/>
  <c r="G41" i="6"/>
  <c r="G45" i="6"/>
  <c r="G49" i="6"/>
  <c r="G53" i="6"/>
  <c r="G57" i="6"/>
  <c r="G61" i="6"/>
  <c r="G65" i="6"/>
  <c r="G69" i="6"/>
  <c r="G73" i="6"/>
  <c r="G77" i="6"/>
  <c r="G81" i="6"/>
  <c r="G85" i="6"/>
  <c r="G89" i="6"/>
  <c r="G93" i="6"/>
  <c r="G97" i="6"/>
  <c r="G101" i="6"/>
  <c r="G105" i="6"/>
  <c r="G109" i="6"/>
  <c r="G113" i="6"/>
  <c r="G117" i="6"/>
  <c r="G121" i="6"/>
  <c r="G125" i="6"/>
  <c r="G129" i="6"/>
  <c r="G133" i="6"/>
  <c r="G137" i="6"/>
  <c r="G141" i="6"/>
  <c r="G145" i="6"/>
  <c r="G149" i="6"/>
  <c r="G153" i="6"/>
  <c r="G157" i="6"/>
  <c r="G161" i="6"/>
  <c r="G165" i="6"/>
  <c r="G169" i="6"/>
  <c r="G173" i="6"/>
  <c r="G177" i="6"/>
  <c r="G181" i="6"/>
  <c r="G185" i="6"/>
  <c r="G189" i="6"/>
  <c r="G193" i="6"/>
  <c r="G197" i="6"/>
  <c r="G201" i="6"/>
  <c r="G205" i="6"/>
  <c r="G209" i="6"/>
  <c r="G213" i="6"/>
  <c r="G217" i="6"/>
  <c r="G221" i="6"/>
  <c r="G225" i="6"/>
  <c r="G229" i="6"/>
  <c r="G233" i="6"/>
  <c r="G237" i="6"/>
  <c r="G241" i="6"/>
  <c r="G245" i="6"/>
  <c r="G249" i="6"/>
  <c r="G253" i="6"/>
  <c r="G3" i="6"/>
  <c r="G7" i="6"/>
  <c r="G11" i="6"/>
  <c r="G15" i="6"/>
  <c r="G19" i="6"/>
  <c r="G23" i="6"/>
  <c r="G27" i="6"/>
  <c r="G31" i="6"/>
  <c r="G35" i="6"/>
  <c r="G39" i="6"/>
  <c r="G43" i="6"/>
  <c r="G47" i="6"/>
  <c r="G51" i="6"/>
  <c r="G55" i="6"/>
  <c r="G59" i="6"/>
  <c r="G63" i="6"/>
  <c r="G67" i="6"/>
  <c r="G71" i="6"/>
  <c r="G75" i="6"/>
  <c r="G79" i="6"/>
  <c r="G83" i="6"/>
  <c r="G87" i="6"/>
  <c r="G91" i="6"/>
  <c r="G95" i="6"/>
  <c r="G99" i="6"/>
  <c r="G103" i="6"/>
  <c r="G107" i="6"/>
  <c r="G111" i="6"/>
  <c r="G115" i="6"/>
  <c r="G119" i="6"/>
  <c r="G123" i="6"/>
  <c r="G127" i="6"/>
  <c r="G131" i="6"/>
  <c r="G135" i="6"/>
  <c r="G139" i="6"/>
  <c r="G143" i="6"/>
  <c r="G147" i="6"/>
  <c r="G151" i="6"/>
  <c r="G155" i="6"/>
  <c r="G159" i="6"/>
  <c r="G163" i="6"/>
  <c r="G167" i="6"/>
  <c r="G171" i="6"/>
  <c r="G175" i="6"/>
  <c r="G179" i="6"/>
  <c r="G183" i="6"/>
  <c r="G187" i="6"/>
  <c r="G191" i="6"/>
  <c r="G195" i="6"/>
  <c r="G199" i="6"/>
  <c r="G203" i="6"/>
  <c r="G207" i="6"/>
  <c r="G211" i="6"/>
  <c r="G215" i="6"/>
  <c r="G219" i="6"/>
  <c r="G223" i="6"/>
  <c r="G227" i="6"/>
  <c r="G231" i="6"/>
  <c r="G235" i="6"/>
  <c r="G239" i="6"/>
  <c r="G243" i="6"/>
  <c r="G247" i="6"/>
  <c r="G251" i="6"/>
  <c r="F3" i="6"/>
  <c r="F5" i="6"/>
  <c r="F7" i="6"/>
  <c r="F9" i="6"/>
  <c r="F11" i="6"/>
  <c r="F13" i="6"/>
  <c r="F15" i="6"/>
  <c r="F17" i="6"/>
  <c r="F19" i="6"/>
  <c r="F21" i="6"/>
  <c r="F23" i="6"/>
  <c r="F25" i="6"/>
  <c r="F27" i="6"/>
  <c r="F29" i="6"/>
  <c r="F31" i="6"/>
  <c r="F33" i="6"/>
  <c r="F35" i="6"/>
  <c r="F37" i="6"/>
  <c r="F39" i="6"/>
  <c r="F41" i="6"/>
  <c r="F43" i="6"/>
  <c r="F45" i="6"/>
  <c r="F47" i="6"/>
  <c r="F49" i="6"/>
  <c r="F51" i="6"/>
  <c r="F53" i="6"/>
  <c r="F55" i="6"/>
  <c r="F57" i="6"/>
  <c r="F59" i="6"/>
  <c r="F61" i="6"/>
  <c r="F63" i="6"/>
  <c r="F65" i="6"/>
  <c r="F67" i="6"/>
  <c r="F69" i="6"/>
  <c r="F71" i="6"/>
  <c r="F73" i="6"/>
  <c r="F75" i="6"/>
  <c r="F77" i="6"/>
  <c r="F79" i="6"/>
  <c r="F81" i="6"/>
  <c r="F83" i="6"/>
  <c r="F85" i="6"/>
  <c r="F87" i="6"/>
  <c r="F89" i="6"/>
  <c r="F91" i="6"/>
  <c r="F93" i="6"/>
  <c r="F95" i="6"/>
  <c r="F97" i="6"/>
  <c r="F99" i="6"/>
  <c r="F101" i="6"/>
  <c r="F103" i="6"/>
  <c r="F105" i="6"/>
  <c r="F107" i="6"/>
  <c r="F109" i="6"/>
  <c r="F111" i="6"/>
  <c r="F113" i="6"/>
  <c r="F115" i="6"/>
  <c r="F117" i="6"/>
  <c r="F119" i="6"/>
  <c r="F121" i="6"/>
  <c r="F123" i="6"/>
  <c r="F125" i="6"/>
  <c r="F127" i="6"/>
  <c r="F129" i="6"/>
  <c r="F131" i="6"/>
  <c r="F133" i="6"/>
  <c r="F135" i="6"/>
  <c r="F137" i="6"/>
  <c r="F139" i="6"/>
  <c r="F141" i="6"/>
  <c r="F143" i="6"/>
  <c r="F145" i="6"/>
  <c r="F147" i="6"/>
  <c r="F149" i="6"/>
  <c r="F151" i="6"/>
  <c r="F153" i="6"/>
  <c r="F155" i="6"/>
  <c r="F157" i="6"/>
  <c r="F159" i="6"/>
  <c r="F161" i="6"/>
  <c r="F163" i="6"/>
  <c r="F165" i="6"/>
  <c r="F167" i="6"/>
  <c r="F169" i="6"/>
  <c r="F171" i="6"/>
  <c r="F173" i="6"/>
  <c r="F175" i="6"/>
  <c r="F177" i="6"/>
  <c r="F179" i="6"/>
  <c r="F181" i="6"/>
  <c r="F6" i="6"/>
  <c r="F10" i="6"/>
  <c r="F14" i="6"/>
  <c r="F18" i="6"/>
  <c r="F22" i="6"/>
  <c r="F26" i="6"/>
  <c r="F30" i="6"/>
  <c r="F34" i="6"/>
  <c r="F38" i="6"/>
  <c r="F42" i="6"/>
  <c r="F46" i="6"/>
  <c r="F50" i="6"/>
  <c r="F54" i="6"/>
  <c r="F58" i="6"/>
  <c r="F62" i="6"/>
  <c r="F66" i="6"/>
  <c r="F70" i="6"/>
  <c r="F74" i="6"/>
  <c r="F78" i="6"/>
  <c r="F82" i="6"/>
  <c r="F86" i="6"/>
  <c r="F90" i="6"/>
  <c r="F94" i="6"/>
  <c r="F98" i="6"/>
  <c r="F102" i="6"/>
  <c r="F106" i="6"/>
  <c r="F110" i="6"/>
  <c r="F114" i="6"/>
  <c r="F118" i="6"/>
  <c r="F122" i="6"/>
  <c r="F126" i="6"/>
  <c r="F130" i="6"/>
  <c r="F134" i="6"/>
  <c r="F138" i="6"/>
  <c r="F142" i="6"/>
  <c r="F146" i="6"/>
  <c r="F150" i="6"/>
  <c r="F154" i="6"/>
  <c r="F158" i="6"/>
  <c r="F162" i="6"/>
  <c r="F166" i="6"/>
  <c r="F170" i="6"/>
  <c r="F174" i="6"/>
  <c r="F178" i="6"/>
  <c r="F182" i="6"/>
  <c r="F184" i="6"/>
  <c r="F186" i="6"/>
  <c r="F188" i="6"/>
  <c r="F190" i="6"/>
  <c r="F192" i="6"/>
  <c r="F194" i="6"/>
  <c r="F196" i="6"/>
  <c r="F198" i="6"/>
  <c r="F200" i="6"/>
  <c r="F202" i="6"/>
  <c r="F204" i="6"/>
  <c r="F206" i="6"/>
  <c r="F208" i="6"/>
  <c r="F210" i="6"/>
  <c r="F212" i="6"/>
  <c r="F214" i="6"/>
  <c r="F216" i="6"/>
  <c r="F218" i="6"/>
  <c r="F220" i="6"/>
  <c r="F222" i="6"/>
  <c r="F224" i="6"/>
  <c r="F226" i="6"/>
  <c r="F228" i="6"/>
  <c r="F230" i="6"/>
  <c r="F232" i="6"/>
  <c r="F234" i="6"/>
  <c r="F236" i="6"/>
  <c r="F238" i="6"/>
  <c r="F240" i="6"/>
  <c r="F242" i="6"/>
  <c r="F244" i="6"/>
  <c r="F246" i="6"/>
  <c r="F248" i="6"/>
  <c r="F250" i="6"/>
  <c r="F252" i="6"/>
  <c r="F4" i="6"/>
  <c r="F12" i="6"/>
  <c r="F20" i="6"/>
  <c r="F28" i="6"/>
  <c r="F36" i="6"/>
  <c r="F44" i="6"/>
  <c r="F52" i="6"/>
  <c r="F60" i="6"/>
  <c r="F68" i="6"/>
  <c r="F76" i="6"/>
  <c r="F84" i="6"/>
  <c r="F92" i="6"/>
  <c r="F100" i="6"/>
  <c r="F108" i="6"/>
  <c r="F116" i="6"/>
  <c r="F124" i="6"/>
  <c r="F132" i="6"/>
  <c r="F140" i="6"/>
  <c r="F148" i="6"/>
  <c r="F156" i="6"/>
  <c r="F164" i="6"/>
  <c r="F172" i="6"/>
  <c r="F180" i="6"/>
  <c r="F185" i="6"/>
  <c r="F189" i="6"/>
  <c r="F193" i="6"/>
  <c r="F197" i="6"/>
  <c r="F201" i="6"/>
  <c r="F205" i="6"/>
  <c r="F209" i="6"/>
  <c r="F213" i="6"/>
  <c r="F217" i="6"/>
  <c r="F221" i="6"/>
  <c r="F225" i="6"/>
  <c r="F229" i="6"/>
  <c r="F233" i="6"/>
  <c r="F237" i="6"/>
  <c r="F241" i="6"/>
  <c r="F245" i="6"/>
  <c r="F249" i="6"/>
  <c r="F253" i="6"/>
  <c r="F8" i="6"/>
  <c r="F16" i="6"/>
  <c r="F24" i="6"/>
  <c r="F32" i="6"/>
  <c r="F40" i="6"/>
  <c r="F48" i="6"/>
  <c r="F56" i="6"/>
  <c r="F64" i="6"/>
  <c r="F72" i="6"/>
  <c r="F80" i="6"/>
  <c r="F88" i="6"/>
  <c r="F96" i="6"/>
  <c r="F104" i="6"/>
  <c r="F112" i="6"/>
  <c r="F120" i="6"/>
  <c r="F128" i="6"/>
  <c r="F136" i="6"/>
  <c r="F144" i="6"/>
  <c r="F152" i="6"/>
  <c r="F160" i="6"/>
  <c r="F168" i="6"/>
  <c r="F176" i="6"/>
  <c r="F183" i="6"/>
  <c r="F187" i="6"/>
  <c r="F191" i="6"/>
  <c r="F195" i="6"/>
  <c r="F199" i="6"/>
  <c r="F203" i="6"/>
  <c r="F207" i="6"/>
  <c r="F211" i="6"/>
  <c r="F215" i="6"/>
  <c r="F219" i="6"/>
  <c r="F223" i="6"/>
  <c r="F227" i="6"/>
  <c r="F231" i="6"/>
  <c r="F235" i="6"/>
  <c r="F239" i="6"/>
  <c r="F243" i="6"/>
  <c r="F247" i="6"/>
  <c r="F251" i="6"/>
  <c r="E3" i="6"/>
  <c r="E5" i="6"/>
  <c r="E7" i="6"/>
  <c r="E9" i="6"/>
  <c r="E11" i="6"/>
  <c r="E13" i="6"/>
  <c r="E15" i="6"/>
  <c r="E17" i="6"/>
  <c r="E19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E47" i="6"/>
  <c r="E49" i="6"/>
  <c r="E51" i="6"/>
  <c r="E53" i="6"/>
  <c r="E55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E133" i="6"/>
  <c r="E135" i="6"/>
  <c r="E137" i="6"/>
  <c r="E139" i="6"/>
  <c r="E141" i="6"/>
  <c r="E143" i="6"/>
  <c r="E145" i="6"/>
  <c r="E147" i="6"/>
  <c r="E149" i="6"/>
  <c r="E151" i="6"/>
  <c r="E153" i="6"/>
  <c r="E155" i="6"/>
  <c r="E157" i="6"/>
  <c r="E159" i="6"/>
  <c r="E161" i="6"/>
  <c r="E163" i="6"/>
  <c r="E165" i="6"/>
  <c r="E167" i="6"/>
  <c r="E169" i="6"/>
  <c r="E171" i="6"/>
  <c r="E173" i="6"/>
  <c r="E175" i="6"/>
  <c r="E177" i="6"/>
  <c r="E179" i="6"/>
  <c r="E181" i="6"/>
  <c r="E183" i="6"/>
  <c r="E185" i="6"/>
  <c r="E187" i="6"/>
  <c r="E189" i="6"/>
  <c r="E191" i="6"/>
  <c r="E193" i="6"/>
  <c r="E195" i="6"/>
  <c r="E197" i="6"/>
  <c r="E199" i="6"/>
  <c r="E201" i="6"/>
  <c r="E203" i="6"/>
  <c r="E205" i="6"/>
  <c r="E207" i="6"/>
  <c r="E209" i="6"/>
  <c r="E211" i="6"/>
  <c r="E213" i="6"/>
  <c r="E215" i="6"/>
  <c r="E217" i="6"/>
  <c r="E219" i="6"/>
  <c r="E221" i="6"/>
  <c r="E223" i="6"/>
  <c r="E225" i="6"/>
  <c r="E227" i="6"/>
  <c r="E229" i="6"/>
  <c r="E231" i="6"/>
  <c r="E233" i="6"/>
  <c r="E235" i="6"/>
  <c r="E237" i="6"/>
  <c r="E239" i="6"/>
  <c r="E241" i="6"/>
  <c r="E243" i="6"/>
  <c r="E245" i="6"/>
  <c r="E247" i="6"/>
  <c r="E249" i="6"/>
  <c r="E251" i="6"/>
  <c r="E253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66" i="6"/>
  <c r="E70" i="6"/>
  <c r="E74" i="6"/>
  <c r="E78" i="6"/>
  <c r="E82" i="6"/>
  <c r="E86" i="6"/>
  <c r="E90" i="6"/>
  <c r="E94" i="6"/>
  <c r="E98" i="6"/>
  <c r="E102" i="6"/>
  <c r="E106" i="6"/>
  <c r="E110" i="6"/>
  <c r="E114" i="6"/>
  <c r="E118" i="6"/>
  <c r="E122" i="6"/>
  <c r="E126" i="6"/>
  <c r="E130" i="6"/>
  <c r="E134" i="6"/>
  <c r="E138" i="6"/>
  <c r="E142" i="6"/>
  <c r="E146" i="6"/>
  <c r="E150" i="6"/>
  <c r="E154" i="6"/>
  <c r="E158" i="6"/>
  <c r="E162" i="6"/>
  <c r="E166" i="6"/>
  <c r="E170" i="6"/>
  <c r="E174" i="6"/>
  <c r="E178" i="6"/>
  <c r="E182" i="6"/>
  <c r="E186" i="6"/>
  <c r="E190" i="6"/>
  <c r="E194" i="6"/>
  <c r="E198" i="6"/>
  <c r="E202" i="6"/>
  <c r="E206" i="6"/>
  <c r="E210" i="6"/>
  <c r="E214" i="6"/>
  <c r="E218" i="6"/>
  <c r="E222" i="6"/>
  <c r="E226" i="6"/>
  <c r="E230" i="6"/>
  <c r="E234" i="6"/>
  <c r="E238" i="6"/>
  <c r="E242" i="6"/>
  <c r="E246" i="6"/>
  <c r="E250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68" i="6"/>
  <c r="E72" i="6"/>
  <c r="E76" i="6"/>
  <c r="E80" i="6"/>
  <c r="E84" i="6"/>
  <c r="E88" i="6"/>
  <c r="E92" i="6"/>
  <c r="E96" i="6"/>
  <c r="E104" i="6"/>
  <c r="E112" i="6"/>
  <c r="E120" i="6"/>
  <c r="E128" i="6"/>
  <c r="E136" i="6"/>
  <c r="E144" i="6"/>
  <c r="E152" i="6"/>
  <c r="E160" i="6"/>
  <c r="E168" i="6"/>
  <c r="E176" i="6"/>
  <c r="E184" i="6"/>
  <c r="E192" i="6"/>
  <c r="E200" i="6"/>
  <c r="E208" i="6"/>
  <c r="E216" i="6"/>
  <c r="E224" i="6"/>
  <c r="E232" i="6"/>
  <c r="E240" i="6"/>
  <c r="E248" i="6"/>
  <c r="E100" i="6"/>
  <c r="E108" i="6"/>
  <c r="E116" i="6"/>
  <c r="E124" i="6"/>
  <c r="E132" i="6"/>
  <c r="E140" i="6"/>
  <c r="E148" i="6"/>
  <c r="E156" i="6"/>
  <c r="E164" i="6"/>
  <c r="E172" i="6"/>
  <c r="E180" i="6"/>
  <c r="E188" i="6"/>
  <c r="E196" i="6"/>
  <c r="E204" i="6"/>
  <c r="E212" i="6"/>
  <c r="E220" i="6"/>
  <c r="E228" i="6"/>
  <c r="E236" i="6"/>
  <c r="E244" i="6"/>
  <c r="E252" i="6"/>
  <c r="C4" i="6"/>
  <c r="C6" i="6"/>
  <c r="C8" i="6"/>
  <c r="C10" i="6"/>
  <c r="C12" i="6"/>
  <c r="C14" i="6"/>
  <c r="C16" i="6"/>
  <c r="C18" i="6"/>
  <c r="C20" i="6"/>
  <c r="C22" i="6"/>
  <c r="C24" i="6"/>
  <c r="C26" i="6"/>
  <c r="C28" i="6"/>
  <c r="C30" i="6"/>
  <c r="C32" i="6"/>
  <c r="C34" i="6"/>
  <c r="C36" i="6"/>
  <c r="C38" i="6"/>
  <c r="C40" i="6"/>
  <c r="C42" i="6"/>
  <c r="C44" i="6"/>
  <c r="C46" i="6"/>
  <c r="C48" i="6"/>
  <c r="C50" i="6"/>
  <c r="C52" i="6"/>
  <c r="C54" i="6"/>
  <c r="C56" i="6"/>
  <c r="C58" i="6"/>
  <c r="C60" i="6"/>
  <c r="C62" i="6"/>
  <c r="C64" i="6"/>
  <c r="C66" i="6"/>
  <c r="C68" i="6"/>
  <c r="C70" i="6"/>
  <c r="C72" i="6"/>
  <c r="C74" i="6"/>
  <c r="C76" i="6"/>
  <c r="C78" i="6"/>
  <c r="C80" i="6"/>
  <c r="C82" i="6"/>
  <c r="C84" i="6"/>
  <c r="C86" i="6"/>
  <c r="C88" i="6"/>
  <c r="C90" i="6"/>
  <c r="C92" i="6"/>
  <c r="C94" i="6"/>
  <c r="C96" i="6"/>
  <c r="C98" i="6"/>
  <c r="C100" i="6"/>
  <c r="C102" i="6"/>
  <c r="C104" i="6"/>
  <c r="C106" i="6"/>
  <c r="C108" i="6"/>
  <c r="C110" i="6"/>
  <c r="C112" i="6"/>
  <c r="C114" i="6"/>
  <c r="C116" i="6"/>
  <c r="C118" i="6"/>
  <c r="C120" i="6"/>
  <c r="C122" i="6"/>
  <c r="C124" i="6"/>
  <c r="C126" i="6"/>
  <c r="C128" i="6"/>
  <c r="C130" i="6"/>
  <c r="C132" i="6"/>
  <c r="C134" i="6"/>
  <c r="C136" i="6"/>
  <c r="C138" i="6"/>
  <c r="C140" i="6"/>
  <c r="C142" i="6"/>
  <c r="C144" i="6"/>
  <c r="C146" i="6"/>
  <c r="C148" i="6"/>
  <c r="C150" i="6"/>
  <c r="C152" i="6"/>
  <c r="C154" i="6"/>
  <c r="C156" i="6"/>
  <c r="C158" i="6"/>
  <c r="C160" i="6"/>
  <c r="C162" i="6"/>
  <c r="C164" i="6"/>
  <c r="C166" i="6"/>
  <c r="C168" i="6"/>
  <c r="C170" i="6"/>
  <c r="C3" i="6"/>
  <c r="C7" i="6"/>
  <c r="C11" i="6"/>
  <c r="C15" i="6"/>
  <c r="C19" i="6"/>
  <c r="C23" i="6"/>
  <c r="C27" i="6"/>
  <c r="C31" i="6"/>
  <c r="C35" i="6"/>
  <c r="C39" i="6"/>
  <c r="C43" i="6"/>
  <c r="C47" i="6"/>
  <c r="C51" i="6"/>
  <c r="C55" i="6"/>
  <c r="C59" i="6"/>
  <c r="C63" i="6"/>
  <c r="C67" i="6"/>
  <c r="C71" i="6"/>
  <c r="C75" i="6"/>
  <c r="C79" i="6"/>
  <c r="C83" i="6"/>
  <c r="C87" i="6"/>
  <c r="C91" i="6"/>
  <c r="C95" i="6"/>
  <c r="C99" i="6"/>
  <c r="C103" i="6"/>
  <c r="C107" i="6"/>
  <c r="C111" i="6"/>
  <c r="C115" i="6"/>
  <c r="C119" i="6"/>
  <c r="C123" i="6"/>
  <c r="C127" i="6"/>
  <c r="C131" i="6"/>
  <c r="C135" i="6"/>
  <c r="C139" i="6"/>
  <c r="C143" i="6"/>
  <c r="C147" i="6"/>
  <c r="C151" i="6"/>
  <c r="C155" i="6"/>
  <c r="C159" i="6"/>
  <c r="C163" i="6"/>
  <c r="C167" i="6"/>
  <c r="C171" i="6"/>
  <c r="C173" i="6"/>
  <c r="C175" i="6"/>
  <c r="C177" i="6"/>
  <c r="C179" i="6"/>
  <c r="C181" i="6"/>
  <c r="C183" i="6"/>
  <c r="C185" i="6"/>
  <c r="C187" i="6"/>
  <c r="C189" i="6"/>
  <c r="C191" i="6"/>
  <c r="C193" i="6"/>
  <c r="C195" i="6"/>
  <c r="C197" i="6"/>
  <c r="C199" i="6"/>
  <c r="C201" i="6"/>
  <c r="C203" i="6"/>
  <c r="C205" i="6"/>
  <c r="C207" i="6"/>
  <c r="C209" i="6"/>
  <c r="C211" i="6"/>
  <c r="C213" i="6"/>
  <c r="C215" i="6"/>
  <c r="C217" i="6"/>
  <c r="C219" i="6"/>
  <c r="C221" i="6"/>
  <c r="C223" i="6"/>
  <c r="C225" i="6"/>
  <c r="C227" i="6"/>
  <c r="C229" i="6"/>
  <c r="C231" i="6"/>
  <c r="C233" i="6"/>
  <c r="C235" i="6"/>
  <c r="C237" i="6"/>
  <c r="C239" i="6"/>
  <c r="C241" i="6"/>
  <c r="C243" i="6"/>
  <c r="C245" i="6"/>
  <c r="C247" i="6"/>
  <c r="C249" i="6"/>
  <c r="C251" i="6"/>
  <c r="C253" i="6"/>
  <c r="C5" i="6"/>
  <c r="C13" i="6"/>
  <c r="C21" i="6"/>
  <c r="C29" i="6"/>
  <c r="C37" i="6"/>
  <c r="C45" i="6"/>
  <c r="C53" i="6"/>
  <c r="C61" i="6"/>
  <c r="C69" i="6"/>
  <c r="C77" i="6"/>
  <c r="C85" i="6"/>
  <c r="C93" i="6"/>
  <c r="C101" i="6"/>
  <c r="C109" i="6"/>
  <c r="C117" i="6"/>
  <c r="C125" i="6"/>
  <c r="C133" i="6"/>
  <c r="C141" i="6"/>
  <c r="C149" i="6"/>
  <c r="C157" i="6"/>
  <c r="C165" i="6"/>
  <c r="C172" i="6"/>
  <c r="C176" i="6"/>
  <c r="C180" i="6"/>
  <c r="C184" i="6"/>
  <c r="C188" i="6"/>
  <c r="C192" i="6"/>
  <c r="C196" i="6"/>
  <c r="C200" i="6"/>
  <c r="C204" i="6"/>
  <c r="C208" i="6"/>
  <c r="C212" i="6"/>
  <c r="C216" i="6"/>
  <c r="C220" i="6"/>
  <c r="C224" i="6"/>
  <c r="C228" i="6"/>
  <c r="C232" i="6"/>
  <c r="C236" i="6"/>
  <c r="C240" i="6"/>
  <c r="C244" i="6"/>
  <c r="C248" i="6"/>
  <c r="C252" i="6"/>
  <c r="C9" i="6"/>
  <c r="C25" i="6"/>
  <c r="C41" i="6"/>
  <c r="C57" i="6"/>
  <c r="C73" i="6"/>
  <c r="C89" i="6"/>
  <c r="C105" i="6"/>
  <c r="C121" i="6"/>
  <c r="C137" i="6"/>
  <c r="C153" i="6"/>
  <c r="C169" i="6"/>
  <c r="C178" i="6"/>
  <c r="C186" i="6"/>
  <c r="C194" i="6"/>
  <c r="C202" i="6"/>
  <c r="C210" i="6"/>
  <c r="C218" i="6"/>
  <c r="C226" i="6"/>
  <c r="C234" i="6"/>
  <c r="C242" i="6"/>
  <c r="C250" i="6"/>
  <c r="C17" i="6"/>
  <c r="C33" i="6"/>
  <c r="C49" i="6"/>
  <c r="C65" i="6"/>
  <c r="C81" i="6"/>
  <c r="C97" i="6"/>
  <c r="C113" i="6"/>
  <c r="C129" i="6"/>
  <c r="C145" i="6"/>
  <c r="C161" i="6"/>
  <c r="C174" i="6"/>
  <c r="C182" i="6"/>
  <c r="C190" i="6"/>
  <c r="C198" i="6"/>
  <c r="C206" i="6"/>
  <c r="C214" i="6"/>
  <c r="C222" i="6"/>
  <c r="C230" i="6"/>
  <c r="C238" i="6"/>
  <c r="C246" i="6"/>
  <c r="B4" i="6"/>
  <c r="B6" i="6"/>
  <c r="B8" i="6"/>
  <c r="B10" i="6"/>
  <c r="B12" i="6"/>
  <c r="B14" i="6"/>
  <c r="B16" i="6"/>
  <c r="B18" i="6"/>
  <c r="B20" i="6"/>
  <c r="B22" i="6"/>
  <c r="B24" i="6"/>
  <c r="B26" i="6"/>
  <c r="B28" i="6"/>
  <c r="B30" i="6"/>
  <c r="B32" i="6"/>
  <c r="B34" i="6"/>
  <c r="B36" i="6"/>
  <c r="B38" i="6"/>
  <c r="B40" i="6"/>
  <c r="B42" i="6"/>
  <c r="B44" i="6"/>
  <c r="B46" i="6"/>
  <c r="B48" i="6"/>
  <c r="B50" i="6"/>
  <c r="B52" i="6"/>
  <c r="B54" i="6"/>
  <c r="B56" i="6"/>
  <c r="B58" i="6"/>
  <c r="B60" i="6"/>
  <c r="B62" i="6"/>
  <c r="B64" i="6"/>
  <c r="B66" i="6"/>
  <c r="B68" i="6"/>
  <c r="B70" i="6"/>
  <c r="B72" i="6"/>
  <c r="B74" i="6"/>
  <c r="B76" i="6"/>
  <c r="B78" i="6"/>
  <c r="B80" i="6"/>
  <c r="B82" i="6"/>
  <c r="B84" i="6"/>
  <c r="B86" i="6"/>
  <c r="B88" i="6"/>
  <c r="B90" i="6"/>
  <c r="B92" i="6"/>
  <c r="B94" i="6"/>
  <c r="B96" i="6"/>
  <c r="B98" i="6"/>
  <c r="B100" i="6"/>
  <c r="B102" i="6"/>
  <c r="B104" i="6"/>
  <c r="B106" i="6"/>
  <c r="B108" i="6"/>
  <c r="B110" i="6"/>
  <c r="B112" i="6"/>
  <c r="B114" i="6"/>
  <c r="B116" i="6"/>
  <c r="B118" i="6"/>
  <c r="B120" i="6"/>
  <c r="B122" i="6"/>
  <c r="B124" i="6"/>
  <c r="B126" i="6"/>
  <c r="B128" i="6"/>
  <c r="B130" i="6"/>
  <c r="B132" i="6"/>
  <c r="B134" i="6"/>
  <c r="B136" i="6"/>
  <c r="B138" i="6"/>
  <c r="B140" i="6"/>
  <c r="B142" i="6"/>
  <c r="B144" i="6"/>
  <c r="B146" i="6"/>
  <c r="B148" i="6"/>
  <c r="B150" i="6"/>
  <c r="B152" i="6"/>
  <c r="B154" i="6"/>
  <c r="B156" i="6"/>
  <c r="B158" i="6"/>
  <c r="B160" i="6"/>
  <c r="B162" i="6"/>
  <c r="B164" i="6"/>
  <c r="B166" i="6"/>
  <c r="B168" i="6"/>
  <c r="B170" i="6"/>
  <c r="B3" i="6"/>
  <c r="B7" i="6"/>
  <c r="B11" i="6"/>
  <c r="B15" i="6"/>
  <c r="B19" i="6"/>
  <c r="B23" i="6"/>
  <c r="B27" i="6"/>
  <c r="B31" i="6"/>
  <c r="B35" i="6"/>
  <c r="B39" i="6"/>
  <c r="B43" i="6"/>
  <c r="B47" i="6"/>
  <c r="B51" i="6"/>
  <c r="B55" i="6"/>
  <c r="B59" i="6"/>
  <c r="B63" i="6"/>
  <c r="B67" i="6"/>
  <c r="B71" i="6"/>
  <c r="B75" i="6"/>
  <c r="B79" i="6"/>
  <c r="B83" i="6"/>
  <c r="B87" i="6"/>
  <c r="B91" i="6"/>
  <c r="B95" i="6"/>
  <c r="B99" i="6"/>
  <c r="B103" i="6"/>
  <c r="B107" i="6"/>
  <c r="B111" i="6"/>
  <c r="B115" i="6"/>
  <c r="B119" i="6"/>
  <c r="B123" i="6"/>
  <c r="B127" i="6"/>
  <c r="B131" i="6"/>
  <c r="B135" i="6"/>
  <c r="B139" i="6"/>
  <c r="B143" i="6"/>
  <c r="B147" i="6"/>
  <c r="B151" i="6"/>
  <c r="B155" i="6"/>
  <c r="B159" i="6"/>
  <c r="B163" i="6"/>
  <c r="B167" i="6"/>
  <c r="B171" i="6"/>
  <c r="B173" i="6"/>
  <c r="B175" i="6"/>
  <c r="B177" i="6"/>
  <c r="B179" i="6"/>
  <c r="B181" i="6"/>
  <c r="B183" i="6"/>
  <c r="B185" i="6"/>
  <c r="B187" i="6"/>
  <c r="B189" i="6"/>
  <c r="B191" i="6"/>
  <c r="B193" i="6"/>
  <c r="B195" i="6"/>
  <c r="B197" i="6"/>
  <c r="B199" i="6"/>
  <c r="B201" i="6"/>
  <c r="B203" i="6"/>
  <c r="B205" i="6"/>
  <c r="B207" i="6"/>
  <c r="B209" i="6"/>
  <c r="B211" i="6"/>
  <c r="B213" i="6"/>
  <c r="B215" i="6"/>
  <c r="B217" i="6"/>
  <c r="B219" i="6"/>
  <c r="B221" i="6"/>
  <c r="B223" i="6"/>
  <c r="B225" i="6"/>
  <c r="B227" i="6"/>
  <c r="B229" i="6"/>
  <c r="B231" i="6"/>
  <c r="B233" i="6"/>
  <c r="B235" i="6"/>
  <c r="B237" i="6"/>
  <c r="B239" i="6"/>
  <c r="B241" i="6"/>
  <c r="B243" i="6"/>
  <c r="B245" i="6"/>
  <c r="B247" i="6"/>
  <c r="B249" i="6"/>
  <c r="B251" i="6"/>
  <c r="B253" i="6"/>
  <c r="B5" i="6"/>
  <c r="B9" i="6"/>
  <c r="B13" i="6"/>
  <c r="B17" i="6"/>
  <c r="B21" i="6"/>
  <c r="B25" i="6"/>
  <c r="B29" i="6"/>
  <c r="B33" i="6"/>
  <c r="B37" i="6"/>
  <c r="B41" i="6"/>
  <c r="B45" i="6"/>
  <c r="B49" i="6"/>
  <c r="B53" i="6"/>
  <c r="B57" i="6"/>
  <c r="B61" i="6"/>
  <c r="B65" i="6"/>
  <c r="B69" i="6"/>
  <c r="B73" i="6"/>
  <c r="B77" i="6"/>
  <c r="B81" i="6"/>
  <c r="B85" i="6"/>
  <c r="B89" i="6"/>
  <c r="B93" i="6"/>
  <c r="B97" i="6"/>
  <c r="B101" i="6"/>
  <c r="B105" i="6"/>
  <c r="B109" i="6"/>
  <c r="B113" i="6"/>
  <c r="B117" i="6"/>
  <c r="B121" i="6"/>
  <c r="B125" i="6"/>
  <c r="B129" i="6"/>
  <c r="B133" i="6"/>
  <c r="B137" i="6"/>
  <c r="B141" i="6"/>
  <c r="B145" i="6"/>
  <c r="B149" i="6"/>
  <c r="B153" i="6"/>
  <c r="B157" i="6"/>
  <c r="B161" i="6"/>
  <c r="B165" i="6"/>
  <c r="B169" i="6"/>
  <c r="B172" i="6"/>
  <c r="B174" i="6"/>
  <c r="B176" i="6"/>
  <c r="B178" i="6"/>
  <c r="B180" i="6"/>
  <c r="B182" i="6"/>
  <c r="B184" i="6"/>
  <c r="B186" i="6"/>
  <c r="B188" i="6"/>
  <c r="B190" i="6"/>
  <c r="B192" i="6"/>
  <c r="B194" i="6"/>
  <c r="B196" i="6"/>
  <c r="B198" i="6"/>
  <c r="B200" i="6"/>
  <c r="B202" i="6"/>
  <c r="B204" i="6"/>
  <c r="B206" i="6"/>
  <c r="B208" i="6"/>
  <c r="B210" i="6"/>
  <c r="B212" i="6"/>
  <c r="B214" i="6"/>
  <c r="B216" i="6"/>
  <c r="B218" i="6"/>
  <c r="B220" i="6"/>
  <c r="B222" i="6"/>
  <c r="B224" i="6"/>
  <c r="B226" i="6"/>
  <c r="B228" i="6"/>
  <c r="B230" i="6"/>
  <c r="B232" i="6"/>
  <c r="B234" i="6"/>
  <c r="B236" i="6"/>
  <c r="B238" i="6"/>
  <c r="B240" i="6"/>
  <c r="B242" i="6"/>
  <c r="B244" i="6"/>
  <c r="B246" i="6"/>
  <c r="B248" i="6"/>
  <c r="B250" i="6"/>
  <c r="B252" i="6"/>
  <c r="K1" i="6"/>
  <c r="I1" i="6"/>
  <c r="G1" i="6"/>
  <c r="E1" i="6"/>
  <c r="C1" i="6"/>
  <c r="J1" i="6"/>
  <c r="H1" i="6"/>
  <c r="F1" i="6"/>
  <c r="D1" i="6"/>
  <c r="M4" i="4"/>
  <c r="O4" i="4"/>
  <c r="M5" i="4"/>
  <c r="O5" i="4"/>
  <c r="M6" i="4"/>
  <c r="O6" i="4"/>
  <c r="M7" i="4"/>
  <c r="O7" i="4"/>
  <c r="M8" i="4"/>
  <c r="O8" i="4"/>
  <c r="M9" i="4"/>
  <c r="O9" i="4"/>
  <c r="M10" i="4"/>
  <c r="O10" i="4"/>
  <c r="M11" i="4"/>
  <c r="O11" i="4"/>
  <c r="M12" i="4"/>
  <c r="O12" i="4"/>
  <c r="N4" i="4"/>
  <c r="P4" i="4"/>
  <c r="N5" i="4"/>
  <c r="P5" i="4"/>
  <c r="N6" i="4"/>
  <c r="P6" i="4"/>
  <c r="N7" i="4"/>
  <c r="P7" i="4"/>
  <c r="N8" i="4"/>
  <c r="P8" i="4"/>
  <c r="N9" i="4"/>
  <c r="P9" i="4"/>
  <c r="N10" i="4"/>
  <c r="P10" i="4"/>
  <c r="N11" i="4"/>
  <c r="P11" i="4"/>
  <c r="N12" i="4"/>
  <c r="P12" i="4"/>
  <c r="P3" i="4"/>
  <c r="I13" i="4" l="1"/>
  <c r="G4" i="4"/>
  <c r="G6" i="4"/>
  <c r="G8" i="4"/>
  <c r="G10" i="4"/>
  <c r="G12" i="4"/>
  <c r="G5" i="4"/>
  <c r="G7" i="4"/>
  <c r="G9" i="4"/>
  <c r="G11" i="4"/>
  <c r="F4" i="4"/>
  <c r="F6" i="4"/>
  <c r="F8" i="4"/>
  <c r="F10" i="4"/>
  <c r="F12" i="4"/>
  <c r="F5" i="4"/>
  <c r="F7" i="4"/>
  <c r="F9" i="4"/>
  <c r="F11" i="4"/>
  <c r="A3" i="6" a="1"/>
  <c r="L11" i="4" l="1"/>
  <c r="K11" i="4"/>
  <c r="L9" i="4"/>
  <c r="K9" i="4"/>
  <c r="L7" i="4"/>
  <c r="K7" i="4"/>
  <c r="L5" i="4"/>
  <c r="K5" i="4"/>
  <c r="L12" i="4"/>
  <c r="K12" i="4"/>
  <c r="L10" i="4"/>
  <c r="K10" i="4"/>
  <c r="L8" i="4"/>
  <c r="K8" i="4"/>
  <c r="L6" i="4"/>
  <c r="K6" i="4"/>
  <c r="L4" i="4"/>
  <c r="K4" i="4"/>
  <c r="A3" i="6"/>
  <c r="A5" i="6"/>
  <c r="A7" i="6"/>
  <c r="A9" i="6"/>
  <c r="A11" i="6"/>
  <c r="A13" i="6"/>
  <c r="A15" i="6"/>
  <c r="A17" i="6"/>
  <c r="A19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6" i="6"/>
  <c r="A10" i="6"/>
  <c r="A14" i="6"/>
  <c r="A18" i="6"/>
  <c r="A22" i="6"/>
  <c r="A26" i="6"/>
  <c r="A30" i="6"/>
  <c r="A34" i="6"/>
  <c r="A38" i="6"/>
  <c r="A42" i="6"/>
  <c r="A46" i="6"/>
  <c r="A50" i="6"/>
  <c r="A54" i="6"/>
  <c r="A58" i="6"/>
  <c r="A62" i="6"/>
  <c r="A66" i="6"/>
  <c r="A70" i="6"/>
  <c r="A74" i="6"/>
  <c r="A78" i="6"/>
  <c r="A82" i="6"/>
  <c r="A86" i="6"/>
  <c r="A90" i="6"/>
  <c r="A94" i="6"/>
  <c r="A98" i="6"/>
  <c r="A102" i="6"/>
  <c r="A106" i="6"/>
  <c r="A110" i="6"/>
  <c r="A114" i="6"/>
  <c r="A118" i="6"/>
  <c r="A122" i="6"/>
  <c r="A126" i="6"/>
  <c r="A130" i="6"/>
  <c r="A134" i="6"/>
  <c r="A138" i="6"/>
  <c r="A142" i="6"/>
  <c r="A146" i="6"/>
  <c r="A150" i="6"/>
  <c r="A154" i="6"/>
  <c r="A158" i="6"/>
  <c r="A162" i="6"/>
  <c r="A166" i="6"/>
  <c r="A170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4" i="6"/>
  <c r="A12" i="6"/>
  <c r="A20" i="6"/>
  <c r="A28" i="6"/>
  <c r="A36" i="6"/>
  <c r="A44" i="6"/>
  <c r="A52" i="6"/>
  <c r="A60" i="6"/>
  <c r="A68" i="6"/>
  <c r="A76" i="6"/>
  <c r="A84" i="6"/>
  <c r="A92" i="6"/>
  <c r="A100" i="6"/>
  <c r="A108" i="6"/>
  <c r="A116" i="6"/>
  <c r="A124" i="6"/>
  <c r="A132" i="6"/>
  <c r="A140" i="6"/>
  <c r="A148" i="6"/>
  <c r="A156" i="6"/>
  <c r="A164" i="6"/>
  <c r="A172" i="6"/>
  <c r="A176" i="6"/>
  <c r="A180" i="6"/>
  <c r="A184" i="6"/>
  <c r="A188" i="6"/>
  <c r="A192" i="6"/>
  <c r="A196" i="6"/>
  <c r="A200" i="6"/>
  <c r="A204" i="6"/>
  <c r="A208" i="6"/>
  <c r="A212" i="6"/>
  <c r="A216" i="6"/>
  <c r="A220" i="6"/>
  <c r="A224" i="6"/>
  <c r="A228" i="6"/>
  <c r="A232" i="6"/>
  <c r="A236" i="6"/>
  <c r="A240" i="6"/>
  <c r="A244" i="6"/>
  <c r="A248" i="6"/>
  <c r="A252" i="6"/>
  <c r="A8" i="6"/>
  <c r="A16" i="6"/>
  <c r="A24" i="6"/>
  <c r="A32" i="6"/>
  <c r="A40" i="6"/>
  <c r="A48" i="6"/>
  <c r="A56" i="6"/>
  <c r="A64" i="6"/>
  <c r="A72" i="6"/>
  <c r="A80" i="6"/>
  <c r="A88" i="6"/>
  <c r="A96" i="6"/>
  <c r="A104" i="6"/>
  <c r="A112" i="6"/>
  <c r="A120" i="6"/>
  <c r="A128" i="6"/>
  <c r="A136" i="6"/>
  <c r="A144" i="6"/>
  <c r="A152" i="6"/>
  <c r="A160" i="6"/>
  <c r="A168" i="6"/>
  <c r="A174" i="6"/>
  <c r="A178" i="6"/>
  <c r="A182" i="6"/>
  <c r="A186" i="6"/>
  <c r="A190" i="6"/>
  <c r="A194" i="6"/>
  <c r="A198" i="6"/>
  <c r="A202" i="6"/>
  <c r="A206" i="6"/>
  <c r="A210" i="6"/>
  <c r="A214" i="6"/>
  <c r="A218" i="6"/>
  <c r="A222" i="6"/>
  <c r="A226" i="6"/>
  <c r="A230" i="6"/>
  <c r="A234" i="6"/>
  <c r="A238" i="6"/>
  <c r="A242" i="6"/>
  <c r="A246" i="6"/>
  <c r="A250" i="6"/>
  <c r="G3" i="4"/>
  <c r="N3" i="4"/>
  <c r="M3" i="4"/>
  <c r="O3" i="4"/>
  <c r="F3" i="4"/>
  <c r="L3" i="4" l="1"/>
  <c r="K3" i="4"/>
  <c r="H13" i="4"/>
  <c r="J13" i="4" s="1"/>
  <c r="K13" i="4"/>
  <c r="L13" i="4" s="1"/>
</calcChain>
</file>

<file path=xl/comments1.xml><?xml version="1.0" encoding="utf-8"?>
<comments xmlns="http://schemas.openxmlformats.org/spreadsheetml/2006/main">
  <authors>
    <author>RaySu</author>
    <author>Vaibhav Sharma</author>
  </authors>
  <commentList>
    <comment ref="F3" authorId="0" shapeId="0">
      <text>
        <r>
          <rPr>
            <b/>
            <sz val="9"/>
            <color indexed="81"/>
            <rFont val="Tahoma"/>
            <family val="2"/>
          </rPr>
          <t>RaySu:</t>
        </r>
        <r>
          <rPr>
            <sz val="9"/>
            <color indexed="81"/>
            <rFont val="Tahoma"/>
            <family val="2"/>
          </rPr>
          <t xml:space="preserve">
StockQuote(Stock Ticker, Optional Current Date)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RaySu:</t>
        </r>
        <r>
          <rPr>
            <sz val="9"/>
            <color indexed="81"/>
            <rFont val="Tahoma"/>
            <family val="2"/>
          </rPr>
          <t xml:space="preserve">
StockDiv(Stock Ticker, Purchase Date, Optional Settlement Date)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RaySu:</t>
        </r>
        <r>
          <rPr>
            <sz val="9"/>
            <color indexed="81"/>
            <rFont val="Tahoma"/>
            <family val="2"/>
          </rPr>
          <t xml:space="preserve">
StockMax(Stock Ticker, # of Weeks, Optional Ending Date)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RaySu:</t>
        </r>
        <r>
          <rPr>
            <sz val="9"/>
            <color indexed="81"/>
            <rFont val="Tahoma"/>
            <family val="2"/>
          </rPr>
          <t xml:space="preserve">
StockMin(Stock Ticker, # of Weeks, Optional Ending Date)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RaySu:</t>
        </r>
        <r>
          <rPr>
            <sz val="9"/>
            <color indexed="81"/>
            <rFont val="Tahoma"/>
            <family val="2"/>
          </rPr>
          <t xml:space="preserve">
StockVol(Stock Ticker, # of Years, Optional Ending Date)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RaySu:</t>
        </r>
        <r>
          <rPr>
            <sz val="9"/>
            <color indexed="81"/>
            <rFont val="Tahoma"/>
            <family val="2"/>
          </rPr>
          <t xml:space="preserve">
StockBeta(Stock Ticker, Index Ticker, # of Years, Optional Time Span ("d" for daily by default, "w" for weekly, "m" for monthly), Optional Settlement Date)</t>
        </r>
      </text>
    </comment>
    <comment ref="D10" authorId="1" shapeId="0">
      <text>
        <r>
          <rPr>
            <b/>
            <sz val="9"/>
            <color indexed="81"/>
            <rFont val="Tahoma"/>
            <family val="2"/>
          </rPr>
          <t>Vaibhav Sharma:</t>
        </r>
        <r>
          <rPr>
            <sz val="9"/>
            <color indexed="81"/>
            <rFont val="Tahoma"/>
            <family val="2"/>
          </rPr>
          <t xml:space="preserve">
Sold 165 shares, so 95 remaining</t>
        </r>
      </text>
    </comment>
  </commentList>
</comments>
</file>

<file path=xl/sharedStrings.xml><?xml version="1.0" encoding="utf-8"?>
<sst xmlns="http://schemas.openxmlformats.org/spreadsheetml/2006/main" count="45" uniqueCount="43">
  <si>
    <t>Position</t>
  </si>
  <si>
    <t>Beta</t>
  </si>
  <si>
    <t>Dividend 
Per Share</t>
  </si>
  <si>
    <t>Current 
Price</t>
  </si>
  <si>
    <t>Purchase 
Price</t>
  </si>
  <si>
    <t>Purchase 
Date</t>
  </si>
  <si>
    <t>Stock 
Ticker</t>
  </si>
  <si>
    <t>High</t>
  </si>
  <si>
    <t>Low</t>
  </si>
  <si>
    <t>Stock 
Volatility</t>
  </si>
  <si>
    <t>GPRO</t>
  </si>
  <si>
    <t>PORTFOLIO</t>
  </si>
  <si>
    <t>AKAM</t>
  </si>
  <si>
    <t>ARRS</t>
  </si>
  <si>
    <t>QCOM</t>
  </si>
  <si>
    <t>UTEK</t>
  </si>
  <si>
    <t>SSYS</t>
  </si>
  <si>
    <t>SFUN</t>
  </si>
  <si>
    <t>ATVI</t>
  </si>
  <si>
    <t>MU</t>
  </si>
  <si>
    <t>DIS</t>
  </si>
  <si>
    <t>Cost Basis</t>
  </si>
  <si>
    <t>Cost</t>
  </si>
  <si>
    <t>Basis</t>
  </si>
  <si>
    <t>Total</t>
  </si>
  <si>
    <t>Comm</t>
  </si>
  <si>
    <t>Fees</t>
  </si>
  <si>
    <t>Current</t>
  </si>
  <si>
    <t>Value</t>
  </si>
  <si>
    <t>^IXIC</t>
  </si>
  <si>
    <t>Gain/</t>
  </si>
  <si>
    <t>Loss</t>
  </si>
  <si>
    <t>Akamai Technologies</t>
  </si>
  <si>
    <t>Arris Group Inc</t>
  </si>
  <si>
    <t>Qualcomm Inc</t>
  </si>
  <si>
    <t>Ultratech Inc</t>
  </si>
  <si>
    <t>Stratasys Ltd</t>
  </si>
  <si>
    <t>Soufun Holdings Ltd</t>
  </si>
  <si>
    <t>Activision Blizzard Inc</t>
  </si>
  <si>
    <t>Micron Technology Inc</t>
  </si>
  <si>
    <t>Disney Walt Co Del</t>
  </si>
  <si>
    <t>GoPro Inc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</si>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</sst>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[$-409]d\-mmm\-yyyy;@"/>
    <numFmt numFmtId="166" formatCode="0&quot;-year(d)&quot;"/>
    <numFmt numFmtId="167" formatCode="0&quot;-Week&quot;"/>
    <numFmt numFmtId="168" formatCode="_-&quot;$&quot;* #,##0.00"/>
    <numFmt numFmtId="169" formatCode="* #,##0.00"/>
    <numFmt numFmtId="170" formatCode="m/d/yy;@"/>
    <numFmt numFmtId="171" formatCode="mm/dd/yy;@"/>
    <numFmt numFmtId="172" formatCode="_-&quot;$&quot;* #,##0"/>
    <numFmt numFmtId="173" formatCode="* #,##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4">
    <xf numFmtId="0" fontId="0" fillId="0" borderId="0" xfId="0"/>
    <xf numFmtId="0" fontId="3" fillId="0" borderId="0" xfId="0" applyFont="1" applyAlignment="1">
      <alignment horizontal="center"/>
    </xf>
    <xf numFmtId="44" fontId="0" fillId="0" borderId="0" xfId="0" applyNumberFormat="1" applyAlignment="1">
      <alignment horizontal="left"/>
    </xf>
    <xf numFmtId="44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0" fontId="3" fillId="0" borderId="0" xfId="0" applyFont="1" applyAlignment="1">
      <alignment horizontal="right"/>
    </xf>
    <xf numFmtId="165" fontId="3" fillId="0" borderId="0" xfId="0" applyNumberFormat="1" applyFont="1" applyAlignment="1">
      <alignment horizontal="right"/>
    </xf>
    <xf numFmtId="166" fontId="1" fillId="2" borderId="0" xfId="0" applyNumberFormat="1" applyFont="1" applyFill="1" applyAlignment="1">
      <alignment horizontal="center"/>
    </xf>
    <xf numFmtId="44" fontId="1" fillId="2" borderId="0" xfId="0" applyNumberFormat="1" applyFont="1" applyFill="1" applyAlignment="1">
      <alignment horizontal="center"/>
    </xf>
    <xf numFmtId="0" fontId="6" fillId="0" borderId="0" xfId="0" applyFont="1" applyAlignment="1">
      <alignment horizontal="center"/>
    </xf>
    <xf numFmtId="167" fontId="1" fillId="2" borderId="0" xfId="0" applyNumberFormat="1" applyFont="1" applyFill="1" applyAlignment="1">
      <alignment horizontal="center" wrapText="1"/>
    </xf>
    <xf numFmtId="164" fontId="1" fillId="2" borderId="0" xfId="0" applyNumberFormat="1" applyFont="1" applyFill="1" applyAlignment="1">
      <alignment horizontal="center"/>
    </xf>
    <xf numFmtId="14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3" fontId="0" fillId="0" borderId="3" xfId="0" applyNumberFormat="1" applyBorder="1" applyAlignment="1">
      <alignment horizontal="right"/>
    </xf>
    <xf numFmtId="0" fontId="7" fillId="0" borderId="0" xfId="0" applyFont="1" applyFill="1" applyBorder="1" applyAlignment="1">
      <alignment horizontal="center"/>
    </xf>
    <xf numFmtId="170" fontId="0" fillId="0" borderId="0" xfId="0" applyNumberFormat="1"/>
    <xf numFmtId="171" fontId="0" fillId="0" borderId="0" xfId="0" applyNumberFormat="1"/>
    <xf numFmtId="14" fontId="0" fillId="0" borderId="2" xfId="0" applyNumberFormat="1" applyBorder="1"/>
    <xf numFmtId="1" fontId="0" fillId="0" borderId="0" xfId="0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44" fontId="1" fillId="2" borderId="0" xfId="0" applyNumberFormat="1" applyFont="1" applyFill="1" applyAlignment="1">
      <alignment horizontal="center" wrapText="1"/>
    </xf>
    <xf numFmtId="44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/>
    </xf>
    <xf numFmtId="44" fontId="1" fillId="2" borderId="0" xfId="0" applyNumberFormat="1" applyFont="1" applyFill="1" applyAlignment="1">
      <alignment horizontal="center" wrapText="1"/>
    </xf>
    <xf numFmtId="44" fontId="1" fillId="2" borderId="0" xfId="0" applyNumberFormat="1" applyFont="1" applyFill="1" applyAlignment="1">
      <alignment horizontal="center"/>
    </xf>
    <xf numFmtId="167" fontId="1" fillId="2" borderId="0" xfId="0" applyNumberFormat="1" applyFont="1" applyFill="1" applyAlignment="1">
      <alignment horizont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Fill="1" applyBorder="1"/>
    <xf numFmtId="4" fontId="0" fillId="0" borderId="0" xfId="0" applyNumberFormat="1"/>
    <xf numFmtId="0" fontId="8" fillId="0" borderId="0" xfId="0" applyFont="1"/>
    <xf numFmtId="43" fontId="0" fillId="0" borderId="0" xfId="0" applyNumberFormat="1"/>
    <xf numFmtId="44" fontId="0" fillId="0" borderId="0" xfId="0" applyNumberFormat="1" applyFill="1"/>
    <xf numFmtId="43" fontId="0" fillId="0" borderId="0" xfId="0" applyNumberFormat="1" applyFill="1"/>
    <xf numFmtId="0" fontId="9" fillId="0" borderId="0" xfId="0" applyFont="1" applyAlignment="1">
      <alignment horizontal="left"/>
    </xf>
    <xf numFmtId="0" fontId="8" fillId="0" borderId="1" xfId="0" applyFont="1" applyBorder="1"/>
    <xf numFmtId="14" fontId="0" fillId="0" borderId="1" xfId="0" applyNumberFormat="1" applyBorder="1"/>
    <xf numFmtId="0" fontId="0" fillId="0" borderId="1" xfId="0" applyBorder="1"/>
    <xf numFmtId="43" fontId="0" fillId="0" borderId="1" xfId="0" applyNumberFormat="1" applyFill="1" applyBorder="1"/>
    <xf numFmtId="43" fontId="0" fillId="0" borderId="1" xfId="0" applyNumberFormat="1" applyBorder="1"/>
    <xf numFmtId="4" fontId="0" fillId="0" borderId="1" xfId="0" applyNumberFormat="1" applyBorder="1"/>
    <xf numFmtId="164" fontId="0" fillId="0" borderId="1" xfId="0" applyNumberFormat="1" applyBorder="1"/>
    <xf numFmtId="0" fontId="8" fillId="0" borderId="0" xfId="0" applyFont="1" applyBorder="1"/>
    <xf numFmtId="14" fontId="0" fillId="0" borderId="0" xfId="0" applyNumberFormat="1" applyBorder="1"/>
    <xf numFmtId="43" fontId="0" fillId="0" borderId="0" xfId="0" applyNumberFormat="1" applyFill="1" applyBorder="1"/>
    <xf numFmtId="43" fontId="0" fillId="0" borderId="0" xfId="0" applyNumberFormat="1" applyBorder="1"/>
    <xf numFmtId="0" fontId="0" fillId="0" borderId="0" xfId="0" applyBorder="1"/>
    <xf numFmtId="4" fontId="0" fillId="0" borderId="0" xfId="0" applyNumberFormat="1" applyBorder="1"/>
    <xf numFmtId="10" fontId="8" fillId="0" borderId="0" xfId="1" applyNumberFormat="1" applyFont="1" applyFill="1"/>
    <xf numFmtId="10" fontId="8" fillId="0" borderId="1" xfId="1" applyNumberFormat="1" applyFont="1" applyFill="1" applyBorder="1"/>
    <xf numFmtId="0" fontId="1" fillId="2" borderId="0" xfId="0" applyFont="1" applyFill="1" applyAlignment="1">
      <alignment horizontal="center" vertical="center" wrapText="1"/>
    </xf>
    <xf numFmtId="10" fontId="0" fillId="0" borderId="1" xfId="1" applyNumberFormat="1" applyFont="1" applyBorder="1"/>
    <xf numFmtId="44" fontId="0" fillId="0" borderId="0" xfId="0" applyNumberFormat="1" applyFont="1"/>
    <xf numFmtId="44" fontId="7" fillId="3" borderId="0" xfId="0" applyNumberFormat="1" applyFont="1" applyFill="1"/>
    <xf numFmtId="10" fontId="9" fillId="3" borderId="0" xfId="1" applyNumberFormat="1" applyFont="1" applyFill="1"/>
    <xf numFmtId="41" fontId="0" fillId="0" borderId="0" xfId="0" applyNumberFormat="1"/>
    <xf numFmtId="42" fontId="0" fillId="0" borderId="0" xfId="0" applyNumberFormat="1"/>
    <xf numFmtId="0" fontId="0" fillId="0" borderId="1" xfId="0" applyFont="1" applyBorder="1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Data!$L$2</c:f>
              <c:strCache>
                <c:ptCount val="1"/>
                <c:pt idx="0">
                  <c:v>PORTFOLIO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Data!$L$3:$L$254</c:f>
              <c:numCache>
                <c:formatCode>_-* #,##0_-;\-* #,##0_-;_-* "-"_-;_-@_-</c:formatCode>
                <c:ptCount val="252"/>
                <c:pt idx="0" formatCode="_-&quot;$&quot;* #,##0_-;\-&quot;$&quot;* #,##0_-;_-&quot;$&quot;* &quot;-&quot;_-;_-@_-">
                  <c:v>28101.499852000001</c:v>
                </c:pt>
                <c:pt idx="1">
                  <c:v>27319.729905</c:v>
                </c:pt>
                <c:pt idx="2">
                  <c:v>27297.499705000002</c:v>
                </c:pt>
                <c:pt idx="3">
                  <c:v>27269.160552000001</c:v>
                </c:pt>
                <c:pt idx="4">
                  <c:v>27235.670259999999</c:v>
                </c:pt>
                <c:pt idx="5">
                  <c:v>28557.180268</c:v>
                </c:pt>
                <c:pt idx="6">
                  <c:v>28038.550134999998</c:v>
                </c:pt>
                <c:pt idx="7">
                  <c:v>28925.140175</c:v>
                </c:pt>
                <c:pt idx="8">
                  <c:v>28616.299945000002</c:v>
                </c:pt>
                <c:pt idx="9">
                  <c:v>29177.329796000002</c:v>
                </c:pt>
                <c:pt idx="10">
                  <c:v>29649.909712000004</c:v>
                </c:pt>
                <c:pt idx="11">
                  <c:v>30641.400323000005</c:v>
                </c:pt>
                <c:pt idx="12">
                  <c:v>31473.429835000003</c:v>
                </c:pt>
                <c:pt idx="13">
                  <c:v>31530.220055999998</c:v>
                </c:pt>
                <c:pt idx="14">
                  <c:v>31952.360115000003</c:v>
                </c:pt>
                <c:pt idx="15">
                  <c:v>32191.010080000004</c:v>
                </c:pt>
                <c:pt idx="16">
                  <c:v>32418.740329</c:v>
                </c:pt>
                <c:pt idx="17">
                  <c:v>32005.440205000003</c:v>
                </c:pt>
                <c:pt idx="18">
                  <c:v>32042.599896999996</c:v>
                </c:pt>
                <c:pt idx="19">
                  <c:v>31853.390101999998</c:v>
                </c:pt>
                <c:pt idx="20">
                  <c:v>31901.920044999999</c:v>
                </c:pt>
                <c:pt idx="21">
                  <c:v>31718.969738</c:v>
                </c:pt>
                <c:pt idx="22">
                  <c:v>31575.670343000002</c:v>
                </c:pt>
                <c:pt idx="23">
                  <c:v>31730.420306000004</c:v>
                </c:pt>
                <c:pt idx="24">
                  <c:v>32055.480005000001</c:v>
                </c:pt>
                <c:pt idx="25">
                  <c:v>31625.119472999995</c:v>
                </c:pt>
                <c:pt idx="26">
                  <c:v>31139.529922000002</c:v>
                </c:pt>
                <c:pt idx="27">
                  <c:v>31384.250143000001</c:v>
                </c:pt>
                <c:pt idx="28">
                  <c:v>32229.610223000003</c:v>
                </c:pt>
                <c:pt idx="29">
                  <c:v>32001.219916999999</c:v>
                </c:pt>
                <c:pt idx="30">
                  <c:v>32512.446936999997</c:v>
                </c:pt>
                <c:pt idx="31">
                  <c:v>32707.218445000002</c:v>
                </c:pt>
                <c:pt idx="32">
                  <c:v>33056.220017</c:v>
                </c:pt>
                <c:pt idx="33">
                  <c:v>32547.419865000007</c:v>
                </c:pt>
                <c:pt idx="34">
                  <c:v>33127.366572999999</c:v>
                </c:pt>
                <c:pt idx="35">
                  <c:v>32835.601086000002</c:v>
                </c:pt>
                <c:pt idx="36">
                  <c:v>32405.688151999999</c:v>
                </c:pt>
                <c:pt idx="37">
                  <c:v>32320.420961</c:v>
                </c:pt>
                <c:pt idx="38">
                  <c:v>32509.75405</c:v>
                </c:pt>
                <c:pt idx="39">
                  <c:v>32199.479967999992</c:v>
                </c:pt>
                <c:pt idx="40">
                  <c:v>32246.464280000004</c:v>
                </c:pt>
                <c:pt idx="41">
                  <c:v>32355.431688999997</c:v>
                </c:pt>
                <c:pt idx="42">
                  <c:v>32170.312860000002</c:v>
                </c:pt>
                <c:pt idx="43">
                  <c:v>32076.252874000002</c:v>
                </c:pt>
                <c:pt idx="44">
                  <c:v>32086.123056</c:v>
                </c:pt>
                <c:pt idx="45">
                  <c:v>32008.016115999999</c:v>
                </c:pt>
                <c:pt idx="46">
                  <c:v>31641.017669999997</c:v>
                </c:pt>
                <c:pt idx="47">
                  <c:v>31991.442690000003</c:v>
                </c:pt>
                <c:pt idx="48">
                  <c:v>32442.791359999999</c:v>
                </c:pt>
                <c:pt idx="49">
                  <c:v>32336.143634999997</c:v>
                </c:pt>
                <c:pt idx="50">
                  <c:v>32645.227035</c:v>
                </c:pt>
                <c:pt idx="51">
                  <c:v>33060.785494000003</c:v>
                </c:pt>
                <c:pt idx="52">
                  <c:v>32955.825084000004</c:v>
                </c:pt>
                <c:pt idx="53">
                  <c:v>33687.775413999996</c:v>
                </c:pt>
                <c:pt idx="54">
                  <c:v>33557.769057999998</c:v>
                </c:pt>
                <c:pt idx="55">
                  <c:v>33261.366879000001</c:v>
                </c:pt>
                <c:pt idx="56">
                  <c:v>32775.861245000007</c:v>
                </c:pt>
                <c:pt idx="57">
                  <c:v>32811.870276000001</c:v>
                </c:pt>
                <c:pt idx="58">
                  <c:v>34032.641302000004</c:v>
                </c:pt>
                <c:pt idx="59">
                  <c:v>34573.734534999996</c:v>
                </c:pt>
                <c:pt idx="60">
                  <c:v>34766.256866000003</c:v>
                </c:pt>
                <c:pt idx="61">
                  <c:v>34965.89604</c:v>
                </c:pt>
                <c:pt idx="62">
                  <c:v>34563.831764000002</c:v>
                </c:pt>
                <c:pt idx="63">
                  <c:v>33987.589353999996</c:v>
                </c:pt>
                <c:pt idx="64">
                  <c:v>34459.712159000002</c:v>
                </c:pt>
                <c:pt idx="65">
                  <c:v>34423.363849000001</c:v>
                </c:pt>
                <c:pt idx="66">
                  <c:v>34416.26238</c:v>
                </c:pt>
                <c:pt idx="67">
                  <c:v>34323.737266000004</c:v>
                </c:pt>
                <c:pt idx="68">
                  <c:v>33811.488770000004</c:v>
                </c:pt>
                <c:pt idx="69">
                  <c:v>33780.091433999994</c:v>
                </c:pt>
                <c:pt idx="70">
                  <c:v>34213.980872</c:v>
                </c:pt>
                <c:pt idx="71">
                  <c:v>34221.136092000008</c:v>
                </c:pt>
                <c:pt idx="72">
                  <c:v>33909.836937</c:v>
                </c:pt>
                <c:pt idx="73">
                  <c:v>33878.703402000006</c:v>
                </c:pt>
                <c:pt idx="74">
                  <c:v>33769.802294999994</c:v>
                </c:pt>
                <c:pt idx="75">
                  <c:v>33588.570873000004</c:v>
                </c:pt>
                <c:pt idx="76">
                  <c:v>32819.890575999998</c:v>
                </c:pt>
                <c:pt idx="77">
                  <c:v>31965.32733</c:v>
                </c:pt>
                <c:pt idx="78">
                  <c:v>32161.117354000002</c:v>
                </c:pt>
                <c:pt idx="79">
                  <c:v>31440.935120999999</c:v>
                </c:pt>
                <c:pt idx="80">
                  <c:v>31489.478475</c:v>
                </c:pt>
                <c:pt idx="81">
                  <c:v>32345.221134000003</c:v>
                </c:pt>
                <c:pt idx="82">
                  <c:v>32277.324728000003</c:v>
                </c:pt>
                <c:pt idx="83">
                  <c:v>32281.421624000002</c:v>
                </c:pt>
                <c:pt idx="84">
                  <c:v>32612.339931000002</c:v>
                </c:pt>
                <c:pt idx="85">
                  <c:v>32928.474290000006</c:v>
                </c:pt>
                <c:pt idx="86">
                  <c:v>33062.423762000006</c:v>
                </c:pt>
                <c:pt idx="87">
                  <c:v>33790.174427000005</c:v>
                </c:pt>
                <c:pt idx="88">
                  <c:v>33748.583237999999</c:v>
                </c:pt>
                <c:pt idx="89">
                  <c:v>33257.845332999997</c:v>
                </c:pt>
                <c:pt idx="90">
                  <c:v>32995.445069000001</c:v>
                </c:pt>
                <c:pt idx="91">
                  <c:v>33060.647313000001</c:v>
                </c:pt>
                <c:pt idx="92">
                  <c:v>33236.629801000003</c:v>
                </c:pt>
                <c:pt idx="93">
                  <c:v>32868.695372000002</c:v>
                </c:pt>
                <c:pt idx="94">
                  <c:v>33385.164122000002</c:v>
                </c:pt>
                <c:pt idx="95">
                  <c:v>32499.399829999998</c:v>
                </c:pt>
                <c:pt idx="96">
                  <c:v>33032.919073999998</c:v>
                </c:pt>
                <c:pt idx="97">
                  <c:v>33072.445878999992</c:v>
                </c:pt>
                <c:pt idx="98">
                  <c:v>32724.181681999999</c:v>
                </c:pt>
                <c:pt idx="99">
                  <c:v>33678.105996999999</c:v>
                </c:pt>
                <c:pt idx="100">
                  <c:v>34133.191285000001</c:v>
                </c:pt>
                <c:pt idx="101">
                  <c:v>33543.711206</c:v>
                </c:pt>
                <c:pt idx="102">
                  <c:v>32474.675096000006</c:v>
                </c:pt>
                <c:pt idx="103">
                  <c:v>31755.971789000003</c:v>
                </c:pt>
                <c:pt idx="104">
                  <c:v>32027.789650999999</c:v>
                </c:pt>
                <c:pt idx="105">
                  <c:v>32897.982283999998</c:v>
                </c:pt>
                <c:pt idx="106">
                  <c:v>33694.284238</c:v>
                </c:pt>
                <c:pt idx="107">
                  <c:v>35373.455807999999</c:v>
                </c:pt>
                <c:pt idx="108">
                  <c:v>35891.556381999995</c:v>
                </c:pt>
                <c:pt idx="109">
                  <c:v>36400.555818999994</c:v>
                </c:pt>
                <c:pt idx="110">
                  <c:v>36272.512372999998</c:v>
                </c:pt>
                <c:pt idx="111">
                  <c:v>36431.583893000003</c:v>
                </c:pt>
                <c:pt idx="112">
                  <c:v>36262.519285000002</c:v>
                </c:pt>
                <c:pt idx="113">
                  <c:v>36379.363552999988</c:v>
                </c:pt>
                <c:pt idx="114">
                  <c:v>37767.309061</c:v>
                </c:pt>
                <c:pt idx="115">
                  <c:v>36975.911739000003</c:v>
                </c:pt>
                <c:pt idx="116">
                  <c:v>37148.496502999995</c:v>
                </c:pt>
                <c:pt idx="117">
                  <c:v>37498.379862999995</c:v>
                </c:pt>
                <c:pt idx="118">
                  <c:v>37481.005920000003</c:v>
                </c:pt>
                <c:pt idx="119">
                  <c:v>37415.690048000004</c:v>
                </c:pt>
                <c:pt idx="120">
                  <c:v>37743.680043</c:v>
                </c:pt>
                <c:pt idx="121">
                  <c:v>37629.566143999997</c:v>
                </c:pt>
                <c:pt idx="122">
                  <c:v>37587.871543999994</c:v>
                </c:pt>
                <c:pt idx="123">
                  <c:v>37506.678193</c:v>
                </c:pt>
                <c:pt idx="124">
                  <c:v>36888.289479999999</c:v>
                </c:pt>
                <c:pt idx="125">
                  <c:v>37337.219907999999</c:v>
                </c:pt>
                <c:pt idx="126">
                  <c:v>37801.915270999998</c:v>
                </c:pt>
                <c:pt idx="127">
                  <c:v>37416.219014999995</c:v>
                </c:pt>
                <c:pt idx="128">
                  <c:v>37765.425437999991</c:v>
                </c:pt>
                <c:pt idx="129">
                  <c:v>37574.582183999999</c:v>
                </c:pt>
                <c:pt idx="130">
                  <c:v>37349.072969000001</c:v>
                </c:pt>
                <c:pt idx="131">
                  <c:v>37365.393427000003</c:v>
                </c:pt>
                <c:pt idx="132">
                  <c:v>37179.705105000001</c:v>
                </c:pt>
                <c:pt idx="133">
                  <c:v>37548.817210999994</c:v>
                </c:pt>
                <c:pt idx="134">
                  <c:v>37095.389081000001</c:v>
                </c:pt>
                <c:pt idx="135">
                  <c:v>36368.798882999996</c:v>
                </c:pt>
                <c:pt idx="136">
                  <c:v>35952.524248000002</c:v>
                </c:pt>
                <c:pt idx="137">
                  <c:v>35708.696997999999</c:v>
                </c:pt>
                <c:pt idx="138">
                  <c:v>36187.449260000001</c:v>
                </c:pt>
                <c:pt idx="139">
                  <c:v>36057.076869000004</c:v>
                </c:pt>
                <c:pt idx="140">
                  <c:v>36658.866634999998</c:v>
                </c:pt>
                <c:pt idx="141">
                  <c:v>36630.976005999997</c:v>
                </c:pt>
                <c:pt idx="142">
                  <c:v>36566.224364000002</c:v>
                </c:pt>
                <c:pt idx="143">
                  <c:v>36535.029548999999</c:v>
                </c:pt>
                <c:pt idx="144">
                  <c:v>37480.413933999997</c:v>
                </c:pt>
                <c:pt idx="145">
                  <c:v>38582.75864</c:v>
                </c:pt>
                <c:pt idx="146">
                  <c:v>38619.624687000003</c:v>
                </c:pt>
                <c:pt idx="147">
                  <c:v>39056.000708000007</c:v>
                </c:pt>
                <c:pt idx="148">
                  <c:v>38792.427224999999</c:v>
                </c:pt>
                <c:pt idx="149">
                  <c:v>38694.901936000002</c:v>
                </c:pt>
                <c:pt idx="150">
                  <c:v>39099.529329000005</c:v>
                </c:pt>
                <c:pt idx="151">
                  <c:v>39051.169625000002</c:v>
                </c:pt>
                <c:pt idx="152">
                  <c:v>38613.327160999994</c:v>
                </c:pt>
                <c:pt idx="153">
                  <c:v>38779.443794999999</c:v>
                </c:pt>
                <c:pt idx="154">
                  <c:v>39290.946607999998</c:v>
                </c:pt>
                <c:pt idx="155">
                  <c:v>38961.439407000005</c:v>
                </c:pt>
                <c:pt idx="156">
                  <c:v>39177.795374999994</c:v>
                </c:pt>
                <c:pt idx="157">
                  <c:v>38992.047664999998</c:v>
                </c:pt>
                <c:pt idx="158">
                  <c:v>39395.041009</c:v>
                </c:pt>
                <c:pt idx="159">
                  <c:v>39899.759760000001</c:v>
                </c:pt>
                <c:pt idx="160">
                  <c:v>39721.191995999994</c:v>
                </c:pt>
                <c:pt idx="161">
                  <c:v>39967.138463999996</c:v>
                </c:pt>
                <c:pt idx="162">
                  <c:v>39481.042059999992</c:v>
                </c:pt>
                <c:pt idx="163">
                  <c:v>39270.382067999999</c:v>
                </c:pt>
                <c:pt idx="164">
                  <c:v>39094.444780999998</c:v>
                </c:pt>
                <c:pt idx="165">
                  <c:v>39595.135796000002</c:v>
                </c:pt>
                <c:pt idx="166">
                  <c:v>39412.511806999995</c:v>
                </c:pt>
                <c:pt idx="167">
                  <c:v>39100.870560000003</c:v>
                </c:pt>
                <c:pt idx="168">
                  <c:v>39383.006579000001</c:v>
                </c:pt>
                <c:pt idx="169">
                  <c:v>39176.219822999999</c:v>
                </c:pt>
                <c:pt idx="170">
                  <c:v>38996.373789000005</c:v>
                </c:pt>
                <c:pt idx="171">
                  <c:v>38958.420755000006</c:v>
                </c:pt>
                <c:pt idx="172">
                  <c:v>39089.662331</c:v>
                </c:pt>
                <c:pt idx="173">
                  <c:v>39066.148869999997</c:v>
                </c:pt>
                <c:pt idx="174">
                  <c:v>39065.352572000003</c:v>
                </c:pt>
                <c:pt idx="175">
                  <c:v>38616.212746000005</c:v>
                </c:pt>
                <c:pt idx="176">
                  <c:v>38540.820480000002</c:v>
                </c:pt>
                <c:pt idx="177">
                  <c:v>38800.519565000002</c:v>
                </c:pt>
                <c:pt idx="178">
                  <c:v>38794.484944000003</c:v>
                </c:pt>
                <c:pt idx="179">
                  <c:v>38397.819890999999</c:v>
                </c:pt>
                <c:pt idx="180">
                  <c:v>38222.811633999998</c:v>
                </c:pt>
                <c:pt idx="181">
                  <c:v>38443.811723999999</c:v>
                </c:pt>
                <c:pt idx="182">
                  <c:v>39000.224839000002</c:v>
                </c:pt>
                <c:pt idx="183">
                  <c:v>38877.544382999993</c:v>
                </c:pt>
                <c:pt idx="184">
                  <c:v>38394.148985</c:v>
                </c:pt>
                <c:pt idx="185">
                  <c:v>39233.911861000008</c:v>
                </c:pt>
                <c:pt idx="186">
                  <c:v>39197.416677000001</c:v>
                </c:pt>
                <c:pt idx="187">
                  <c:v>39139.490306000007</c:v>
                </c:pt>
                <c:pt idx="188">
                  <c:v>39212.796679999999</c:v>
                </c:pt>
                <c:pt idx="189">
                  <c:v>40048.70523</c:v>
                </c:pt>
                <c:pt idx="190">
                  <c:v>37927.016902000003</c:v>
                </c:pt>
                <c:pt idx="191">
                  <c:v>37202.960441000003</c:v>
                </c:pt>
                <c:pt idx="192">
                  <c:v>37013.907120999997</c:v>
                </c:pt>
                <c:pt idx="193">
                  <c:v>36552.091616000005</c:v>
                </c:pt>
                <c:pt idx="194">
                  <c:v>37018.336111999997</c:v>
                </c:pt>
                <c:pt idx="195">
                  <c:v>36973.580627999996</c:v>
                </c:pt>
                <c:pt idx="196">
                  <c:v>36607.285055</c:v>
                </c:pt>
                <c:pt idx="197">
                  <c:v>36443.287211000003</c:v>
                </c:pt>
                <c:pt idx="198">
                  <c:v>36692.323567999993</c:v>
                </c:pt>
                <c:pt idx="199">
                  <c:v>36608.763199000001</c:v>
                </c:pt>
                <c:pt idx="200">
                  <c:v>36446.035801999999</c:v>
                </c:pt>
                <c:pt idx="201">
                  <c:v>36023.629153000002</c:v>
                </c:pt>
                <c:pt idx="202">
                  <c:v>35959.390319000006</c:v>
                </c:pt>
                <c:pt idx="203">
                  <c:v>35563.954332000001</c:v>
                </c:pt>
                <c:pt idx="204">
                  <c:v>35402.187384000004</c:v>
                </c:pt>
                <c:pt idx="205">
                  <c:v>35652.338964999995</c:v>
                </c:pt>
                <c:pt idx="206">
                  <c:v>36000.352982000004</c:v>
                </c:pt>
                <c:pt idx="207">
                  <c:v>35404.300709000003</c:v>
                </c:pt>
                <c:pt idx="208">
                  <c:v>35431.596627999999</c:v>
                </c:pt>
                <c:pt idx="209">
                  <c:v>35448.611776000005</c:v>
                </c:pt>
                <c:pt idx="210">
                  <c:v>36485.536210000006</c:v>
                </c:pt>
                <c:pt idx="211">
                  <c:v>36843.498267000003</c:v>
                </c:pt>
                <c:pt idx="212">
                  <c:v>36677.686718999998</c:v>
                </c:pt>
                <c:pt idx="213">
                  <c:v>36406.478641000002</c:v>
                </c:pt>
                <c:pt idx="214">
                  <c:v>36576.612478000003</c:v>
                </c:pt>
                <c:pt idx="215">
                  <c:v>36071.82882699999</c:v>
                </c:pt>
                <c:pt idx="216">
                  <c:v>36158.974084000001</c:v>
                </c:pt>
                <c:pt idx="217">
                  <c:v>35756.877705999999</c:v>
                </c:pt>
                <c:pt idx="218">
                  <c:v>35858.670791000004</c:v>
                </c:pt>
                <c:pt idx="219">
                  <c:v>35564.270155999999</c:v>
                </c:pt>
                <c:pt idx="220">
                  <c:v>35242.790267999997</c:v>
                </c:pt>
                <c:pt idx="221">
                  <c:v>35580.994529000003</c:v>
                </c:pt>
                <c:pt idx="222">
                  <c:v>35684.35699</c:v>
                </c:pt>
                <c:pt idx="223">
                  <c:v>36220.309709000001</c:v>
                </c:pt>
                <c:pt idx="224">
                  <c:v>36286.409320000006</c:v>
                </c:pt>
                <c:pt idx="225">
                  <c:v>36176.270448999996</c:v>
                </c:pt>
                <c:pt idx="226">
                  <c:v>36683.356865999995</c:v>
                </c:pt>
                <c:pt idx="227">
                  <c:v>36524.666520000006</c:v>
                </c:pt>
                <c:pt idx="228">
                  <c:v>36772.633631999997</c:v>
                </c:pt>
                <c:pt idx="229">
                  <c:v>36699.628498000005</c:v>
                </c:pt>
                <c:pt idx="230">
                  <c:v>36744.622372999991</c:v>
                </c:pt>
                <c:pt idx="231">
                  <c:v>36697.760608000004</c:v>
                </c:pt>
                <c:pt idx="232">
                  <c:v>36984.095657999998</c:v>
                </c:pt>
                <c:pt idx="233">
                  <c:v>37090.654502999998</c:v>
                </c:pt>
                <c:pt idx="234">
                  <c:v>36629.777331999998</c:v>
                </c:pt>
                <c:pt idx="235">
                  <c:v>36872.188541999996</c:v>
                </c:pt>
                <c:pt idx="236">
                  <c:v>36174.378792999996</c:v>
                </c:pt>
                <c:pt idx="237">
                  <c:v>35901.376120999994</c:v>
                </c:pt>
                <c:pt idx="238">
                  <c:v>35165.436796000002</c:v>
                </c:pt>
                <c:pt idx="239">
                  <c:v>34942.501258000004</c:v>
                </c:pt>
                <c:pt idx="240">
                  <c:v>34639.765441000003</c:v>
                </c:pt>
                <c:pt idx="241">
                  <c:v>34850.863685999997</c:v>
                </c:pt>
                <c:pt idx="242">
                  <c:v>35445.318023999993</c:v>
                </c:pt>
                <c:pt idx="243">
                  <c:v>34659.854049000001</c:v>
                </c:pt>
                <c:pt idx="244">
                  <c:v>34690.193034999997</c:v>
                </c:pt>
                <c:pt idx="245">
                  <c:v>34525.370618999994</c:v>
                </c:pt>
                <c:pt idx="246">
                  <c:v>34065.526239999999</c:v>
                </c:pt>
                <c:pt idx="247">
                  <c:v>34748.809729000001</c:v>
                </c:pt>
                <c:pt idx="248">
                  <c:v>34965.210071999994</c:v>
                </c:pt>
                <c:pt idx="249">
                  <c:v>35524.130674999993</c:v>
                </c:pt>
                <c:pt idx="250">
                  <c:v>35873.986634000001</c:v>
                </c:pt>
              </c:numCache>
            </c:numRef>
          </c:val>
          <c:smooth val="0"/>
        </c:ser>
        <c:ser>
          <c:idx val="1"/>
          <c:order val="1"/>
          <c:tx>
            <c:v>NASDAQ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Data!$W$3:$W$254</c:f>
              <c:numCache>
                <c:formatCode>_-* #,##0_-;\-* #,##0_-;_-* "-"_-;_-@_-</c:formatCode>
                <c:ptCount val="252"/>
                <c:pt idx="0">
                  <c:v>34516.393185102723</c:v>
                </c:pt>
                <c:pt idx="1">
                  <c:v>33620.850723902782</c:v>
                </c:pt>
                <c:pt idx="2">
                  <c:v>33618.068184790136</c:v>
                </c:pt>
                <c:pt idx="3">
                  <c:v>33657.614660501684</c:v>
                </c:pt>
                <c:pt idx="4">
                  <c:v>33743.843819820519</c:v>
                </c:pt>
                <c:pt idx="5">
                  <c:v>34695.470106344408</c:v>
                </c:pt>
                <c:pt idx="6">
                  <c:v>34026.821555049602</c:v>
                </c:pt>
                <c:pt idx="7">
                  <c:v>35228.644544848263</c:v>
                </c:pt>
                <c:pt idx="8">
                  <c:v>34868.310187922929</c:v>
                </c:pt>
                <c:pt idx="9">
                  <c:v>34910.708947032304</c:v>
                </c:pt>
                <c:pt idx="10">
                  <c:v>35255.034558439307</c:v>
                </c:pt>
                <c:pt idx="11">
                  <c:v>36355.137248692532</c:v>
                </c:pt>
                <c:pt idx="12">
                  <c:v>36773.666186062612</c:v>
                </c:pt>
                <c:pt idx="13">
                  <c:v>36861.323317708098</c:v>
                </c:pt>
                <c:pt idx="14">
                  <c:v>37645.601165266176</c:v>
                </c:pt>
                <c:pt idx="15">
                  <c:v>38084.951384264547</c:v>
                </c:pt>
                <c:pt idx="16">
                  <c:v>38401.38191288583</c:v>
                </c:pt>
                <c:pt idx="17">
                  <c:v>37898.05546481497</c:v>
                </c:pt>
                <c:pt idx="18">
                  <c:v>37954.440302474257</c:v>
                </c:pt>
                <c:pt idx="19">
                  <c:v>37935.193841843808</c:v>
                </c:pt>
                <c:pt idx="20">
                  <c:v>37598.235698864715</c:v>
                </c:pt>
                <c:pt idx="21">
                  <c:v>37356.232419191809</c:v>
                </c:pt>
                <c:pt idx="22">
                  <c:v>37011.6094642229</c:v>
                </c:pt>
                <c:pt idx="23">
                  <c:v>37609.061151652553</c:v>
                </c:pt>
                <c:pt idx="24">
                  <c:v>38124.644693611335</c:v>
                </c:pt>
                <c:pt idx="25">
                  <c:v>37555.007323325932</c:v>
                </c:pt>
                <c:pt idx="26">
                  <c:v>37230.757796496764</c:v>
                </c:pt>
                <c:pt idx="27">
                  <c:v>37089.72228928993</c:v>
                </c:pt>
                <c:pt idx="28">
                  <c:v>37929.478268727835</c:v>
                </c:pt>
                <c:pt idx="29">
                  <c:v>37761.828817426685</c:v>
                </c:pt>
                <c:pt idx="30">
                  <c:v>38328.459725614157</c:v>
                </c:pt>
                <c:pt idx="31">
                  <c:v>38355.297592693765</c:v>
                </c:pt>
                <c:pt idx="32">
                  <c:v>38659.474703718537</c:v>
                </c:pt>
                <c:pt idx="33">
                  <c:v>37872.039884135876</c:v>
                </c:pt>
                <c:pt idx="34">
                  <c:v>38516.258682069747</c:v>
                </c:pt>
                <c:pt idx="35">
                  <c:v>38765.027413017873</c:v>
                </c:pt>
                <c:pt idx="36">
                  <c:v>38406.869894243078</c:v>
                </c:pt>
                <c:pt idx="37">
                  <c:v>38548.584522988618</c:v>
                </c:pt>
                <c:pt idx="38">
                  <c:v>38463.030808917072</c:v>
                </c:pt>
                <c:pt idx="39">
                  <c:v>38362.815571048333</c:v>
                </c:pt>
                <c:pt idx="40">
                  <c:v>38360.334044271032</c:v>
                </c:pt>
                <c:pt idx="41">
                  <c:v>38378.677475413439</c:v>
                </c:pt>
                <c:pt idx="42">
                  <c:v>38143.516728847811</c:v>
                </c:pt>
                <c:pt idx="43">
                  <c:v>38155.245211123693</c:v>
                </c:pt>
                <c:pt idx="44">
                  <c:v>37484.790585816845</c:v>
                </c:pt>
                <c:pt idx="45">
                  <c:v>37474.266145364352</c:v>
                </c:pt>
                <c:pt idx="46">
                  <c:v>37047.694294319059</c:v>
                </c:pt>
                <c:pt idx="47">
                  <c:v>37628.083689297709</c:v>
                </c:pt>
                <c:pt idx="48">
                  <c:v>38093.746832537086</c:v>
                </c:pt>
                <c:pt idx="49">
                  <c:v>38215.69005029559</c:v>
                </c:pt>
                <c:pt idx="50">
                  <c:v>38306.353644039002</c:v>
                </c:pt>
                <c:pt idx="51">
                  <c:v>38695.937627982115</c:v>
                </c:pt>
                <c:pt idx="52">
                  <c:v>38550.240087073995</c:v>
                </c:pt>
                <c:pt idx="53">
                  <c:v>38661.053178453869</c:v>
                </c:pt>
                <c:pt idx="54">
                  <c:v>38680.975091849577</c:v>
                </c:pt>
                <c:pt idx="55">
                  <c:v>38545.801983875986</c:v>
                </c:pt>
                <c:pt idx="56">
                  <c:v>37993.983109412366</c:v>
                </c:pt>
                <c:pt idx="57">
                  <c:v>38148.252175607726</c:v>
                </c:pt>
                <c:pt idx="58">
                  <c:v>38309.286678042336</c:v>
                </c:pt>
                <c:pt idx="59">
                  <c:v>37816.558083482611</c:v>
                </c:pt>
                <c:pt idx="60">
                  <c:v>37850.767087763568</c:v>
                </c:pt>
                <c:pt idx="61">
                  <c:v>37829.413533267769</c:v>
                </c:pt>
                <c:pt idx="62">
                  <c:v>36988.827937400463</c:v>
                </c:pt>
                <c:pt idx="63">
                  <c:v>36387.918273128867</c:v>
                </c:pt>
                <c:pt idx="64">
                  <c:v>36695.028425674966</c:v>
                </c:pt>
                <c:pt idx="65">
                  <c:v>36879.218895361948</c:v>
                </c:pt>
                <c:pt idx="66">
                  <c:v>36738.029201937032</c:v>
                </c:pt>
                <c:pt idx="67">
                  <c:v>36613.307121357306</c:v>
                </c:pt>
                <c:pt idx="68">
                  <c:v>35957.363509921001</c:v>
                </c:pt>
                <c:pt idx="69">
                  <c:v>36060.809125354979</c:v>
                </c:pt>
                <c:pt idx="70">
                  <c:v>36376.791815523669</c:v>
                </c:pt>
                <c:pt idx="71">
                  <c:v>36315.370518769138</c:v>
                </c:pt>
                <c:pt idx="72">
                  <c:v>36167.415381586994</c:v>
                </c:pt>
                <c:pt idx="73">
                  <c:v>36019.761256740181</c:v>
                </c:pt>
                <c:pt idx="74">
                  <c:v>35698.066669746935</c:v>
                </c:pt>
                <c:pt idx="75">
                  <c:v>35945.407428368424</c:v>
                </c:pt>
                <c:pt idx="76">
                  <c:v>35392.986521716142</c:v>
                </c:pt>
                <c:pt idx="77">
                  <c:v>34786.287871269938</c:v>
                </c:pt>
                <c:pt idx="78">
                  <c:v>34734.264047458615</c:v>
                </c:pt>
                <c:pt idx="79">
                  <c:v>33961.112657505742</c:v>
                </c:pt>
                <c:pt idx="80">
                  <c:v>34161.469720184592</c:v>
                </c:pt>
                <c:pt idx="81">
                  <c:v>35233.005558696226</c:v>
                </c:pt>
                <c:pt idx="82">
                  <c:v>35593.718009788965</c:v>
                </c:pt>
                <c:pt idx="83">
                  <c:v>35730.998204109928</c:v>
                </c:pt>
                <c:pt idx="84">
                  <c:v>35760.919615119536</c:v>
                </c:pt>
                <c:pt idx="85">
                  <c:v>36303.943041310624</c:v>
                </c:pt>
                <c:pt idx="86">
                  <c:v>36291.010502175413</c:v>
                </c:pt>
                <c:pt idx="87">
                  <c:v>36792.611634357723</c:v>
                </c:pt>
                <c:pt idx="88">
                  <c:v>36757.202249508846</c:v>
                </c:pt>
                <c:pt idx="89">
                  <c:v>36541.284302318207</c:v>
                </c:pt>
                <c:pt idx="90">
                  <c:v>36129.597898055406</c:v>
                </c:pt>
                <c:pt idx="91">
                  <c:v>36254.246565576505</c:v>
                </c:pt>
                <c:pt idx="92">
                  <c:v>36058.10368311037</c:v>
                </c:pt>
                <c:pt idx="93">
                  <c:v>35759.487966501474</c:v>
                </c:pt>
                <c:pt idx="94">
                  <c:v>36175.986906874234</c:v>
                </c:pt>
                <c:pt idx="95">
                  <c:v>35213.608588139119</c:v>
                </c:pt>
                <c:pt idx="96">
                  <c:v>35586.350541361055</c:v>
                </c:pt>
                <c:pt idx="97">
                  <c:v>35710.246674284812</c:v>
                </c:pt>
                <c:pt idx="98">
                  <c:v>34854.100186387732</c:v>
                </c:pt>
                <c:pt idx="99">
                  <c:v>35909.697031184209</c:v>
                </c:pt>
                <c:pt idx="100">
                  <c:v>36299.20392577727</c:v>
                </c:pt>
                <c:pt idx="101">
                  <c:v>36181.849313625447</c:v>
                </c:pt>
                <c:pt idx="102">
                  <c:v>35316.004332931843</c:v>
                </c:pt>
                <c:pt idx="103">
                  <c:v>33879.69603429686</c:v>
                </c:pt>
                <c:pt idx="104">
                  <c:v>34028.249527376247</c:v>
                </c:pt>
                <c:pt idx="105">
                  <c:v>35379.907148945698</c:v>
                </c:pt>
                <c:pt idx="106">
                  <c:v>36668.866003842639</c:v>
                </c:pt>
                <c:pt idx="107">
                  <c:v>37733.107794502976</c:v>
                </c:pt>
                <c:pt idx="108">
                  <c:v>38036.084524959835</c:v>
                </c:pt>
                <c:pt idx="109">
                  <c:v>38279.291853974108</c:v>
                </c:pt>
                <c:pt idx="110">
                  <c:v>37952.560807885609</c:v>
                </c:pt>
                <c:pt idx="111">
                  <c:v>37842.195569994306</c:v>
                </c:pt>
                <c:pt idx="112">
                  <c:v>37923.615861976614</c:v>
                </c:pt>
                <c:pt idx="113">
                  <c:v>37866.478489720001</c:v>
                </c:pt>
                <c:pt idx="114">
                  <c:v>38355.220503343713</c:v>
                </c:pt>
                <c:pt idx="115">
                  <c:v>37917.224843613352</c:v>
                </c:pt>
                <c:pt idx="116">
                  <c:v>38014.206027625434</c:v>
                </c:pt>
                <c:pt idx="117">
                  <c:v>38641.9572202321</c:v>
                </c:pt>
                <c:pt idx="118">
                  <c:v>38383.412922173353</c:v>
                </c:pt>
                <c:pt idx="119">
                  <c:v>38457.315235801092</c:v>
                </c:pt>
                <c:pt idx="120">
                  <c:v>38554.296419813181</c:v>
                </c:pt>
                <c:pt idx="121">
                  <c:v>38558.055408990462</c:v>
                </c:pt>
                <c:pt idx="122">
                  <c:v>38429.875344050815</c:v>
                </c:pt>
                <c:pt idx="123">
                  <c:v>38260.570328664282</c:v>
                </c:pt>
                <c:pt idx="124">
                  <c:v>37888.95533543366</c:v>
                </c:pt>
                <c:pt idx="125">
                  <c:v>38256.209314816326</c:v>
                </c:pt>
                <c:pt idx="126">
                  <c:v>38690.600156551518</c:v>
                </c:pt>
                <c:pt idx="127">
                  <c:v>38881.255065178382</c:v>
                </c:pt>
                <c:pt idx="128">
                  <c:v>39154.534307610935</c:v>
                </c:pt>
                <c:pt idx="129">
                  <c:v>39235.275485572514</c:v>
                </c:pt>
                <c:pt idx="130">
                  <c:v>39169.720774246736</c:v>
                </c:pt>
                <c:pt idx="131">
                  <c:v>38816.676803917238</c:v>
                </c:pt>
                <c:pt idx="132">
                  <c:v>38333.720107694695</c:v>
                </c:pt>
                <c:pt idx="133">
                  <c:v>38378.453552428153</c:v>
                </c:pt>
                <c:pt idx="134">
                  <c:v>38127.500645782609</c:v>
                </c:pt>
                <c:pt idx="135">
                  <c:v>37572.601888644451</c:v>
                </c:pt>
                <c:pt idx="136">
                  <c:v>37006.495915777603</c:v>
                </c:pt>
                <c:pt idx="137">
                  <c:v>36911.467646930774</c:v>
                </c:pt>
                <c:pt idx="138">
                  <c:v>37570.795814632409</c:v>
                </c:pt>
                <c:pt idx="139">
                  <c:v>37529.296423755615</c:v>
                </c:pt>
                <c:pt idx="140">
                  <c:v>37659.132060298616</c:v>
                </c:pt>
                <c:pt idx="141">
                  <c:v>37688.528528469622</c:v>
                </c:pt>
                <c:pt idx="142">
                  <c:v>37491.181596662136</c:v>
                </c:pt>
                <c:pt idx="143">
                  <c:v>37277.6717481542</c:v>
                </c:pt>
                <c:pt idx="144">
                  <c:v>38195.162450973745</c:v>
                </c:pt>
                <c:pt idx="145">
                  <c:v>38433.333320892758</c:v>
                </c:pt>
                <c:pt idx="146">
                  <c:v>38510.168676041816</c:v>
                </c:pt>
                <c:pt idx="147">
                  <c:v>38793.443754832806</c:v>
                </c:pt>
                <c:pt idx="148">
                  <c:v>38747.436516472801</c:v>
                </c:pt>
                <c:pt idx="149">
                  <c:v>38469.495240338969</c:v>
                </c:pt>
                <c:pt idx="150">
                  <c:v>38589.408461100153</c:v>
                </c:pt>
                <c:pt idx="151">
                  <c:v>38077.657328895264</c:v>
                </c:pt>
                <c:pt idx="152">
                  <c:v>38007.514004444805</c:v>
                </c:pt>
                <c:pt idx="153">
                  <c:v>37815.207200506018</c:v>
                </c:pt>
                <c:pt idx="154">
                  <c:v>37974.061203534628</c:v>
                </c:pt>
                <c:pt idx="155">
                  <c:v>38210.198407682889</c:v>
                </c:pt>
                <c:pt idx="156">
                  <c:v>38166.445089305489</c:v>
                </c:pt>
                <c:pt idx="157">
                  <c:v>37694.16701223555</c:v>
                </c:pt>
                <c:pt idx="158">
                  <c:v>37752.504765060075</c:v>
                </c:pt>
                <c:pt idx="159">
                  <c:v>38104.572277806939</c:v>
                </c:pt>
                <c:pt idx="160">
                  <c:v>38034.355532779882</c:v>
                </c:pt>
                <c:pt idx="161">
                  <c:v>38335.90061461868</c:v>
                </c:pt>
                <c:pt idx="162">
                  <c:v>38165.16762690551</c:v>
                </c:pt>
                <c:pt idx="163">
                  <c:v>38213.359040962932</c:v>
                </c:pt>
                <c:pt idx="164">
                  <c:v>38116.374180659426</c:v>
                </c:pt>
                <c:pt idx="165">
                  <c:v>38326.503141675465</c:v>
                </c:pt>
                <c:pt idx="166">
                  <c:v>38391.231912863266</c:v>
                </c:pt>
                <c:pt idx="167">
                  <c:v>37836.105563966375</c:v>
                </c:pt>
                <c:pt idx="168">
                  <c:v>38261.697288655596</c:v>
                </c:pt>
                <c:pt idx="169">
                  <c:v>38272.449320866828</c:v>
                </c:pt>
                <c:pt idx="170">
                  <c:v>38129.233299218024</c:v>
                </c:pt>
                <c:pt idx="171">
                  <c:v>38116.374180659426</c:v>
                </c:pt>
                <c:pt idx="172">
                  <c:v>38179.601551425993</c:v>
                </c:pt>
                <c:pt idx="173">
                  <c:v>37952.935240797568</c:v>
                </c:pt>
                <c:pt idx="174">
                  <c:v>37971.803607260597</c:v>
                </c:pt>
                <c:pt idx="175">
                  <c:v>37452.237145621264</c:v>
                </c:pt>
                <c:pt idx="176">
                  <c:v>37410.888264671121</c:v>
                </c:pt>
                <c:pt idx="177">
                  <c:v>37541.549848870098</c:v>
                </c:pt>
                <c:pt idx="178">
                  <c:v>37616.579130007129</c:v>
                </c:pt>
                <c:pt idx="179">
                  <c:v>37180.462964865408</c:v>
                </c:pt>
                <c:pt idx="180">
                  <c:v>36985.748062243903</c:v>
                </c:pt>
                <c:pt idx="181">
                  <c:v>37133.776612484682</c:v>
                </c:pt>
                <c:pt idx="182">
                  <c:v>37717.172469561257</c:v>
                </c:pt>
                <c:pt idx="183">
                  <c:v>37630.414706148353</c:v>
                </c:pt>
                <c:pt idx="184">
                  <c:v>37149.488014441107</c:v>
                </c:pt>
                <c:pt idx="185">
                  <c:v>37767.617811119271</c:v>
                </c:pt>
                <c:pt idx="186">
                  <c:v>38006.537546862186</c:v>
                </c:pt>
                <c:pt idx="187">
                  <c:v>38042.84996871707</c:v>
                </c:pt>
                <c:pt idx="188">
                  <c:v>38282.147806145374</c:v>
                </c:pt>
                <c:pt idx="189">
                  <c:v>38011.350082972145</c:v>
                </c:pt>
                <c:pt idx="190">
                  <c:v>37854.298485182124</c:v>
                </c:pt>
                <c:pt idx="191">
                  <c:v>37695.89600441551</c:v>
                </c:pt>
                <c:pt idx="192">
                  <c:v>37549.295426501376</c:v>
                </c:pt>
                <c:pt idx="193">
                  <c:v>37077.241272416722</c:v>
                </c:pt>
                <c:pt idx="194">
                  <c:v>37648.457117437443</c:v>
                </c:pt>
                <c:pt idx="195">
                  <c:v>37672.740044681115</c:v>
                </c:pt>
                <c:pt idx="196">
                  <c:v>37419.158777623037</c:v>
                </c:pt>
                <c:pt idx="197">
                  <c:v>37501.555527187971</c:v>
                </c:pt>
                <c:pt idx="198">
                  <c:v>37559.66934950924</c:v>
                </c:pt>
                <c:pt idx="199">
                  <c:v>37398.634847074623</c:v>
                </c:pt>
                <c:pt idx="200">
                  <c:v>37220.156274212197</c:v>
                </c:pt>
                <c:pt idx="201">
                  <c:v>36915.002705604791</c:v>
                </c:pt>
                <c:pt idx="202">
                  <c:v>36968.303999334072</c:v>
                </c:pt>
                <c:pt idx="203">
                  <c:v>36739.908696525679</c:v>
                </c:pt>
                <c:pt idx="204">
                  <c:v>36689.463354967666</c:v>
                </c:pt>
                <c:pt idx="205">
                  <c:v>36844.708878745645</c:v>
                </c:pt>
                <c:pt idx="206">
                  <c:v>37194.746386977211</c:v>
                </c:pt>
                <c:pt idx="207">
                  <c:v>36772.087703809317</c:v>
                </c:pt>
                <c:pt idx="208">
                  <c:v>36562.634180522582</c:v>
                </c:pt>
                <c:pt idx="209">
                  <c:v>36661.571955991341</c:v>
                </c:pt>
                <c:pt idx="210">
                  <c:v>37550.271876566025</c:v>
                </c:pt>
                <c:pt idx="211">
                  <c:v>37672.365611769172</c:v>
                </c:pt>
                <c:pt idx="212">
                  <c:v>37788.516174579629</c:v>
                </c:pt>
                <c:pt idx="213">
                  <c:v>37532.603898188878</c:v>
                </c:pt>
                <c:pt idx="214">
                  <c:v>37460.808670908511</c:v>
                </c:pt>
                <c:pt idx="215">
                  <c:v>37119.493190372872</c:v>
                </c:pt>
                <c:pt idx="216">
                  <c:v>37059.947719433549</c:v>
                </c:pt>
                <c:pt idx="217">
                  <c:v>36625.784469457081</c:v>
                </c:pt>
                <c:pt idx="218">
                  <c:v>36787.648595839084</c:v>
                </c:pt>
                <c:pt idx="219">
                  <c:v>36461.743497406555</c:v>
                </c:pt>
                <c:pt idx="220">
                  <c:v>36535.796320960966</c:v>
                </c:pt>
                <c:pt idx="221">
                  <c:v>37157.156495204355</c:v>
                </c:pt>
                <c:pt idx="222">
                  <c:v>37043.861884565173</c:v>
                </c:pt>
                <c:pt idx="223">
                  <c:v>37460.658168499831</c:v>
                </c:pt>
                <c:pt idx="224">
                  <c:v>37342.85203408602</c:v>
                </c:pt>
                <c:pt idx="225">
                  <c:v>37438.77967116543</c:v>
                </c:pt>
                <c:pt idx="226">
                  <c:v>37650.788134288079</c:v>
                </c:pt>
                <c:pt idx="227">
                  <c:v>37315.709485897634</c:v>
                </c:pt>
                <c:pt idx="228">
                  <c:v>37498.850084943362</c:v>
                </c:pt>
                <c:pt idx="229">
                  <c:v>37342.85203408602</c:v>
                </c:pt>
                <c:pt idx="230">
                  <c:v>37350.21950251393</c:v>
                </c:pt>
                <c:pt idx="231">
                  <c:v>37296.466694040631</c:v>
                </c:pt>
                <c:pt idx="232">
                  <c:v>37258.876802267776</c:v>
                </c:pt>
                <c:pt idx="233">
                  <c:v>37023.789468760777</c:v>
                </c:pt>
                <c:pt idx="234">
                  <c:v>36885.90724976913</c:v>
                </c:pt>
                <c:pt idx="235">
                  <c:v>36832.605963557828</c:v>
                </c:pt>
                <c:pt idx="236">
                  <c:v>36791.782017928315</c:v>
                </c:pt>
                <c:pt idx="237">
                  <c:v>36519.405804983799</c:v>
                </c:pt>
                <c:pt idx="238">
                  <c:v>36095.168639562595</c:v>
                </c:pt>
                <c:pt idx="239">
                  <c:v>35993.374919440554</c:v>
                </c:pt>
                <c:pt idx="240">
                  <c:v>35530.039124278381</c:v>
                </c:pt>
                <c:pt idx="241">
                  <c:v>35668.295768664</c:v>
                </c:pt>
                <c:pt idx="242">
                  <c:v>35823.91939412737</c:v>
                </c:pt>
                <c:pt idx="243">
                  <c:v>35460.049971010041</c:v>
                </c:pt>
                <c:pt idx="244">
                  <c:v>35543.048745245658</c:v>
                </c:pt>
                <c:pt idx="245">
                  <c:v>35159.25374747716</c:v>
                </c:pt>
                <c:pt idx="246">
                  <c:v>34847.635747447857</c:v>
                </c:pt>
                <c:pt idx="247">
                  <c:v>35209.776178385226</c:v>
                </c:pt>
                <c:pt idx="248">
                  <c:v>34868.310187922929</c:v>
                </c:pt>
                <c:pt idx="249">
                  <c:v>35195.415666923371</c:v>
                </c:pt>
                <c:pt idx="250">
                  <c:v>35873.986634000001</c:v>
                </c:pt>
                <c:pt idx="251" formatCode="* #,##0.00">
                  <c:v>7.5179783545708361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88474864"/>
        <c:axId val="-1188471600"/>
      </c:lineChart>
      <c:dateAx>
        <c:axId val="-1188474864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471600"/>
        <c:crosses val="autoZero"/>
        <c:auto val="1"/>
        <c:lblOffset val="100"/>
        <c:baseTimeUnit val="days"/>
      </c:dateAx>
      <c:valAx>
        <c:axId val="-1188471600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&quot;$&quot;* #,##0;\-&quot;$&quot;* #,##0;&quot;&quot;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474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Data!$B$2</c:f>
              <c:strCache>
                <c:ptCount val="1"/>
                <c:pt idx="0">
                  <c:v>AKAM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Data!$B$3:$B$254</c:f>
              <c:numCache>
                <c:formatCode>* #,##0.00</c:formatCode>
                <c:ptCount val="252"/>
                <c:pt idx="0" formatCode="_-&quot;$&quot;* #,##0.00">
                  <c:v>46.91</c:v>
                </c:pt>
                <c:pt idx="1">
                  <c:v>46.209999000000003</c:v>
                </c:pt>
                <c:pt idx="2">
                  <c:v>46.110000999999997</c:v>
                </c:pt>
                <c:pt idx="3">
                  <c:v>45.439999</c:v>
                </c:pt>
                <c:pt idx="4">
                  <c:v>44.150002000000001</c:v>
                </c:pt>
                <c:pt idx="5">
                  <c:v>46.91</c:v>
                </c:pt>
                <c:pt idx="6">
                  <c:v>45.82</c:v>
                </c:pt>
                <c:pt idx="7">
                  <c:v>46.880001</c:v>
                </c:pt>
                <c:pt idx="8">
                  <c:v>45.459999000000003</c:v>
                </c:pt>
                <c:pt idx="9">
                  <c:v>48.099997999999999</c:v>
                </c:pt>
                <c:pt idx="10">
                  <c:v>48.189999</c:v>
                </c:pt>
                <c:pt idx="11">
                  <c:v>50.48</c:v>
                </c:pt>
                <c:pt idx="12">
                  <c:v>52.02</c:v>
                </c:pt>
                <c:pt idx="13">
                  <c:v>52.310001</c:v>
                </c:pt>
                <c:pt idx="14">
                  <c:v>52.630001</c:v>
                </c:pt>
                <c:pt idx="15">
                  <c:v>52.900002000000001</c:v>
                </c:pt>
                <c:pt idx="16">
                  <c:v>53.330002</c:v>
                </c:pt>
                <c:pt idx="17">
                  <c:v>53.18</c:v>
                </c:pt>
                <c:pt idx="18">
                  <c:v>53.040000999999997</c:v>
                </c:pt>
                <c:pt idx="19">
                  <c:v>53.25</c:v>
                </c:pt>
                <c:pt idx="20">
                  <c:v>52.98</c:v>
                </c:pt>
                <c:pt idx="21">
                  <c:v>52.68</c:v>
                </c:pt>
                <c:pt idx="22">
                  <c:v>52.32</c:v>
                </c:pt>
                <c:pt idx="23">
                  <c:v>52.59</c:v>
                </c:pt>
                <c:pt idx="24">
                  <c:v>53.279998999999997</c:v>
                </c:pt>
                <c:pt idx="25">
                  <c:v>51.759998000000003</c:v>
                </c:pt>
                <c:pt idx="26">
                  <c:v>51.080002</c:v>
                </c:pt>
                <c:pt idx="27">
                  <c:v>51.810001</c:v>
                </c:pt>
                <c:pt idx="28">
                  <c:v>53.700001</c:v>
                </c:pt>
                <c:pt idx="29">
                  <c:v>53.27</c:v>
                </c:pt>
                <c:pt idx="30">
                  <c:v>55.099997999999999</c:v>
                </c:pt>
                <c:pt idx="31">
                  <c:v>55.709999000000003</c:v>
                </c:pt>
                <c:pt idx="32">
                  <c:v>56.619999</c:v>
                </c:pt>
                <c:pt idx="33">
                  <c:v>54.810001</c:v>
                </c:pt>
                <c:pt idx="34">
                  <c:v>56.07</c:v>
                </c:pt>
                <c:pt idx="35">
                  <c:v>57.66</c:v>
                </c:pt>
                <c:pt idx="36">
                  <c:v>57.610000999999997</c:v>
                </c:pt>
                <c:pt idx="37">
                  <c:v>57.900002000000001</c:v>
                </c:pt>
                <c:pt idx="38">
                  <c:v>57.68</c:v>
                </c:pt>
                <c:pt idx="39">
                  <c:v>56.619999</c:v>
                </c:pt>
                <c:pt idx="40">
                  <c:v>56.950001</c:v>
                </c:pt>
                <c:pt idx="41">
                  <c:v>56.919998</c:v>
                </c:pt>
                <c:pt idx="42">
                  <c:v>59.209999000000003</c:v>
                </c:pt>
                <c:pt idx="43">
                  <c:v>59.25</c:v>
                </c:pt>
                <c:pt idx="44">
                  <c:v>58.73</c:v>
                </c:pt>
                <c:pt idx="45">
                  <c:v>59.139999000000003</c:v>
                </c:pt>
                <c:pt idx="46">
                  <c:v>58.57</c:v>
                </c:pt>
                <c:pt idx="47">
                  <c:v>60.439999</c:v>
                </c:pt>
                <c:pt idx="48">
                  <c:v>61.419998</c:v>
                </c:pt>
                <c:pt idx="49">
                  <c:v>61.650002000000001</c:v>
                </c:pt>
                <c:pt idx="50">
                  <c:v>61.830002</c:v>
                </c:pt>
                <c:pt idx="51">
                  <c:v>62.380001</c:v>
                </c:pt>
                <c:pt idx="52">
                  <c:v>61.700001</c:v>
                </c:pt>
                <c:pt idx="53">
                  <c:v>62.220001000000003</c:v>
                </c:pt>
                <c:pt idx="54">
                  <c:v>63.110000999999997</c:v>
                </c:pt>
                <c:pt idx="55">
                  <c:v>61.779998999999997</c:v>
                </c:pt>
                <c:pt idx="56">
                  <c:v>60.82</c:v>
                </c:pt>
                <c:pt idx="57">
                  <c:v>61.110000999999997</c:v>
                </c:pt>
                <c:pt idx="58">
                  <c:v>62.91</c:v>
                </c:pt>
                <c:pt idx="59">
                  <c:v>75.550003000000004</c:v>
                </c:pt>
                <c:pt idx="60">
                  <c:v>75.370002999999997</c:v>
                </c:pt>
                <c:pt idx="61">
                  <c:v>74.080001999999993</c:v>
                </c:pt>
                <c:pt idx="62">
                  <c:v>72.529999000000004</c:v>
                </c:pt>
                <c:pt idx="63">
                  <c:v>71.160004000000001</c:v>
                </c:pt>
                <c:pt idx="64">
                  <c:v>71.919998000000007</c:v>
                </c:pt>
                <c:pt idx="65">
                  <c:v>70.419998000000007</c:v>
                </c:pt>
                <c:pt idx="66">
                  <c:v>70.949996999999996</c:v>
                </c:pt>
                <c:pt idx="67">
                  <c:v>71.559997999999993</c:v>
                </c:pt>
                <c:pt idx="68">
                  <c:v>70.279999000000004</c:v>
                </c:pt>
                <c:pt idx="69">
                  <c:v>71.139999000000003</c:v>
                </c:pt>
                <c:pt idx="70">
                  <c:v>72.819999999999993</c:v>
                </c:pt>
                <c:pt idx="71">
                  <c:v>73.459998999999996</c:v>
                </c:pt>
                <c:pt idx="72">
                  <c:v>73.800003000000004</c:v>
                </c:pt>
                <c:pt idx="73">
                  <c:v>73.550003000000004</c:v>
                </c:pt>
                <c:pt idx="74">
                  <c:v>72.300003000000004</c:v>
                </c:pt>
                <c:pt idx="75">
                  <c:v>72.120002999999997</c:v>
                </c:pt>
                <c:pt idx="76">
                  <c:v>70.230002999999996</c:v>
                </c:pt>
                <c:pt idx="77">
                  <c:v>68.959998999999996</c:v>
                </c:pt>
                <c:pt idx="78">
                  <c:v>69.059997999999993</c:v>
                </c:pt>
                <c:pt idx="79">
                  <c:v>67.5</c:v>
                </c:pt>
                <c:pt idx="80">
                  <c:v>67.959998999999996</c:v>
                </c:pt>
                <c:pt idx="81">
                  <c:v>70.550003000000004</c:v>
                </c:pt>
                <c:pt idx="82">
                  <c:v>69.389999000000003</c:v>
                </c:pt>
                <c:pt idx="83">
                  <c:v>70.540001000000004</c:v>
                </c:pt>
                <c:pt idx="84">
                  <c:v>70.610000999999997</c:v>
                </c:pt>
                <c:pt idx="85">
                  <c:v>72.089995999999999</c:v>
                </c:pt>
                <c:pt idx="86">
                  <c:v>71.949996999999996</c:v>
                </c:pt>
                <c:pt idx="87">
                  <c:v>74.639999000000003</c:v>
                </c:pt>
                <c:pt idx="88">
                  <c:v>74.819999999999993</c:v>
                </c:pt>
                <c:pt idx="89">
                  <c:v>75.199996999999996</c:v>
                </c:pt>
                <c:pt idx="90">
                  <c:v>74.580001999999993</c:v>
                </c:pt>
                <c:pt idx="91">
                  <c:v>74.669998000000007</c:v>
                </c:pt>
                <c:pt idx="92">
                  <c:v>74.550003000000004</c:v>
                </c:pt>
                <c:pt idx="93">
                  <c:v>73.349997999999999</c:v>
                </c:pt>
                <c:pt idx="94">
                  <c:v>74.279999000000004</c:v>
                </c:pt>
                <c:pt idx="95">
                  <c:v>72.580001999999993</c:v>
                </c:pt>
                <c:pt idx="96">
                  <c:v>73.260002</c:v>
                </c:pt>
                <c:pt idx="97">
                  <c:v>71.269997000000004</c:v>
                </c:pt>
                <c:pt idx="98">
                  <c:v>70.430000000000007</c:v>
                </c:pt>
                <c:pt idx="99">
                  <c:v>71.309997999999993</c:v>
                </c:pt>
                <c:pt idx="100">
                  <c:v>71.900002000000001</c:v>
                </c:pt>
                <c:pt idx="101">
                  <c:v>70.5</c:v>
                </c:pt>
                <c:pt idx="102">
                  <c:v>68.169998000000007</c:v>
                </c:pt>
                <c:pt idx="103">
                  <c:v>65.629997000000003</c:v>
                </c:pt>
                <c:pt idx="104">
                  <c:v>66.519997000000004</c:v>
                </c:pt>
                <c:pt idx="105">
                  <c:v>68.040001000000004</c:v>
                </c:pt>
                <c:pt idx="106">
                  <c:v>69.779999000000004</c:v>
                </c:pt>
                <c:pt idx="107">
                  <c:v>73.059997999999993</c:v>
                </c:pt>
                <c:pt idx="108">
                  <c:v>73.849997999999999</c:v>
                </c:pt>
                <c:pt idx="109">
                  <c:v>73.569999999999993</c:v>
                </c:pt>
                <c:pt idx="110">
                  <c:v>73.370002999999997</c:v>
                </c:pt>
                <c:pt idx="111">
                  <c:v>73.839995999999999</c:v>
                </c:pt>
                <c:pt idx="112">
                  <c:v>73.919998000000007</c:v>
                </c:pt>
                <c:pt idx="113">
                  <c:v>72.959998999999996</c:v>
                </c:pt>
                <c:pt idx="114">
                  <c:v>75.010002</c:v>
                </c:pt>
                <c:pt idx="115">
                  <c:v>74.529999000000004</c:v>
                </c:pt>
                <c:pt idx="116">
                  <c:v>74.419998000000007</c:v>
                </c:pt>
                <c:pt idx="117">
                  <c:v>76.029999000000004</c:v>
                </c:pt>
                <c:pt idx="118">
                  <c:v>75.610000999999997</c:v>
                </c:pt>
                <c:pt idx="119">
                  <c:v>75.75</c:v>
                </c:pt>
                <c:pt idx="120">
                  <c:v>76.709998999999996</c:v>
                </c:pt>
                <c:pt idx="121">
                  <c:v>74.959998999999996</c:v>
                </c:pt>
                <c:pt idx="122">
                  <c:v>73.209998999999996</c:v>
                </c:pt>
                <c:pt idx="123">
                  <c:v>73.650002000000001</c:v>
                </c:pt>
                <c:pt idx="124">
                  <c:v>71.629997000000003</c:v>
                </c:pt>
                <c:pt idx="125">
                  <c:v>72.519997000000004</c:v>
                </c:pt>
                <c:pt idx="126">
                  <c:v>73.510002</c:v>
                </c:pt>
                <c:pt idx="127">
                  <c:v>72.75</c:v>
                </c:pt>
                <c:pt idx="128">
                  <c:v>72.550003000000004</c:v>
                </c:pt>
                <c:pt idx="129">
                  <c:v>73.480002999999996</c:v>
                </c:pt>
                <c:pt idx="130">
                  <c:v>72.720000999999996</c:v>
                </c:pt>
                <c:pt idx="131">
                  <c:v>72.629997000000003</c:v>
                </c:pt>
                <c:pt idx="132">
                  <c:v>72.059997999999993</c:v>
                </c:pt>
                <c:pt idx="133">
                  <c:v>72.290001000000004</c:v>
                </c:pt>
                <c:pt idx="134">
                  <c:v>71.669998000000007</c:v>
                </c:pt>
                <c:pt idx="135">
                  <c:v>69.980002999999996</c:v>
                </c:pt>
                <c:pt idx="136">
                  <c:v>69.300003000000004</c:v>
                </c:pt>
                <c:pt idx="137">
                  <c:v>68.860000999999997</c:v>
                </c:pt>
                <c:pt idx="138">
                  <c:v>70.110000999999997</c:v>
                </c:pt>
                <c:pt idx="139">
                  <c:v>69.760002</c:v>
                </c:pt>
                <c:pt idx="140">
                  <c:v>69.910004000000001</c:v>
                </c:pt>
                <c:pt idx="141">
                  <c:v>70.370002999999997</c:v>
                </c:pt>
                <c:pt idx="142">
                  <c:v>69.819999999999993</c:v>
                </c:pt>
                <c:pt idx="143">
                  <c:v>69.180000000000007</c:v>
                </c:pt>
                <c:pt idx="144">
                  <c:v>71.129997000000003</c:v>
                </c:pt>
                <c:pt idx="145">
                  <c:v>71.370002999999997</c:v>
                </c:pt>
                <c:pt idx="146">
                  <c:v>71.330001999999993</c:v>
                </c:pt>
                <c:pt idx="147">
                  <c:v>72.230002999999996</c:v>
                </c:pt>
                <c:pt idx="148">
                  <c:v>73.010002</c:v>
                </c:pt>
                <c:pt idx="149">
                  <c:v>72.290001000000004</c:v>
                </c:pt>
                <c:pt idx="150">
                  <c:v>73.269997000000004</c:v>
                </c:pt>
                <c:pt idx="151">
                  <c:v>72.809997999999993</c:v>
                </c:pt>
                <c:pt idx="152">
                  <c:v>72.849997999999999</c:v>
                </c:pt>
                <c:pt idx="153">
                  <c:v>72.5</c:v>
                </c:pt>
                <c:pt idx="154">
                  <c:v>73.440002000000007</c:v>
                </c:pt>
                <c:pt idx="155">
                  <c:v>74.050003000000004</c:v>
                </c:pt>
                <c:pt idx="156">
                  <c:v>74.610000999999997</c:v>
                </c:pt>
                <c:pt idx="157">
                  <c:v>72.900002000000001</c:v>
                </c:pt>
                <c:pt idx="158">
                  <c:v>74.889999000000003</c:v>
                </c:pt>
                <c:pt idx="159">
                  <c:v>75.239998</c:v>
                </c:pt>
                <c:pt idx="160">
                  <c:v>75.139999000000003</c:v>
                </c:pt>
                <c:pt idx="161">
                  <c:v>76.019997000000004</c:v>
                </c:pt>
                <c:pt idx="162">
                  <c:v>75.459998999999996</c:v>
                </c:pt>
                <c:pt idx="163">
                  <c:v>75.230002999999996</c:v>
                </c:pt>
                <c:pt idx="164">
                  <c:v>76.269997000000004</c:v>
                </c:pt>
                <c:pt idx="165">
                  <c:v>77.029999000000004</c:v>
                </c:pt>
                <c:pt idx="166">
                  <c:v>77.739998</c:v>
                </c:pt>
                <c:pt idx="167">
                  <c:v>76.930000000000007</c:v>
                </c:pt>
                <c:pt idx="168">
                  <c:v>77.660004000000001</c:v>
                </c:pt>
                <c:pt idx="169">
                  <c:v>77.639999000000003</c:v>
                </c:pt>
                <c:pt idx="170">
                  <c:v>76.910004000000001</c:v>
                </c:pt>
                <c:pt idx="171">
                  <c:v>77.300003000000004</c:v>
                </c:pt>
                <c:pt idx="172">
                  <c:v>77.940002000000007</c:v>
                </c:pt>
                <c:pt idx="173">
                  <c:v>77.959998999999996</c:v>
                </c:pt>
                <c:pt idx="174">
                  <c:v>78.360000999999997</c:v>
                </c:pt>
                <c:pt idx="175">
                  <c:v>76.120002999999997</c:v>
                </c:pt>
                <c:pt idx="176">
                  <c:v>75.970000999999996</c:v>
                </c:pt>
                <c:pt idx="177">
                  <c:v>76.099997999999999</c:v>
                </c:pt>
                <c:pt idx="178">
                  <c:v>76.430000000000007</c:v>
                </c:pt>
                <c:pt idx="179">
                  <c:v>75.239998</c:v>
                </c:pt>
                <c:pt idx="180">
                  <c:v>75.040001000000004</c:v>
                </c:pt>
                <c:pt idx="181">
                  <c:v>75.360000999999997</c:v>
                </c:pt>
                <c:pt idx="182">
                  <c:v>75.099997999999999</c:v>
                </c:pt>
                <c:pt idx="183">
                  <c:v>74.660004000000001</c:v>
                </c:pt>
                <c:pt idx="184">
                  <c:v>73.779999000000004</c:v>
                </c:pt>
                <c:pt idx="185">
                  <c:v>75.129997000000003</c:v>
                </c:pt>
                <c:pt idx="186">
                  <c:v>76.069999999999993</c:v>
                </c:pt>
                <c:pt idx="187">
                  <c:v>77.040001000000004</c:v>
                </c:pt>
                <c:pt idx="188">
                  <c:v>75.739998</c:v>
                </c:pt>
                <c:pt idx="189">
                  <c:v>76.269997000000004</c:v>
                </c:pt>
                <c:pt idx="190">
                  <c:v>76.019997000000004</c:v>
                </c:pt>
                <c:pt idx="191">
                  <c:v>75.300003000000004</c:v>
                </c:pt>
                <c:pt idx="192">
                  <c:v>73.459998999999996</c:v>
                </c:pt>
                <c:pt idx="193">
                  <c:v>71.900002000000001</c:v>
                </c:pt>
                <c:pt idx="194">
                  <c:v>72.489998</c:v>
                </c:pt>
                <c:pt idx="195">
                  <c:v>71.339995999999999</c:v>
                </c:pt>
                <c:pt idx="196">
                  <c:v>71.150002000000001</c:v>
                </c:pt>
                <c:pt idx="197">
                  <c:v>71.339995999999999</c:v>
                </c:pt>
                <c:pt idx="198">
                  <c:v>71.449996999999996</c:v>
                </c:pt>
                <c:pt idx="199">
                  <c:v>71.260002</c:v>
                </c:pt>
                <c:pt idx="200">
                  <c:v>71.790001000000004</c:v>
                </c:pt>
                <c:pt idx="201">
                  <c:v>71.080001999999993</c:v>
                </c:pt>
                <c:pt idx="202">
                  <c:v>70.919998000000007</c:v>
                </c:pt>
                <c:pt idx="203">
                  <c:v>70.839995999999999</c:v>
                </c:pt>
                <c:pt idx="204">
                  <c:v>70.309997999999993</c:v>
                </c:pt>
                <c:pt idx="205">
                  <c:v>71.050003000000004</c:v>
                </c:pt>
                <c:pt idx="206">
                  <c:v>71.900002000000001</c:v>
                </c:pt>
                <c:pt idx="207">
                  <c:v>71.290001000000004</c:v>
                </c:pt>
                <c:pt idx="208">
                  <c:v>71.040001000000004</c:v>
                </c:pt>
                <c:pt idx="209">
                  <c:v>70.650002000000001</c:v>
                </c:pt>
                <c:pt idx="210">
                  <c:v>72.610000999999997</c:v>
                </c:pt>
                <c:pt idx="211">
                  <c:v>73.139999000000003</c:v>
                </c:pt>
                <c:pt idx="212">
                  <c:v>72.870002999999997</c:v>
                </c:pt>
                <c:pt idx="213">
                  <c:v>72.75</c:v>
                </c:pt>
                <c:pt idx="214">
                  <c:v>72.879997000000003</c:v>
                </c:pt>
                <c:pt idx="215">
                  <c:v>72.059997999999993</c:v>
                </c:pt>
                <c:pt idx="216">
                  <c:v>72.080001999999993</c:v>
                </c:pt>
                <c:pt idx="217">
                  <c:v>70.809997999999993</c:v>
                </c:pt>
                <c:pt idx="218">
                  <c:v>71.019997000000004</c:v>
                </c:pt>
                <c:pt idx="219">
                  <c:v>70.360000999999997</c:v>
                </c:pt>
                <c:pt idx="220">
                  <c:v>69.199996999999996</c:v>
                </c:pt>
                <c:pt idx="221">
                  <c:v>69.599997999999999</c:v>
                </c:pt>
                <c:pt idx="222">
                  <c:v>69.959998999999996</c:v>
                </c:pt>
                <c:pt idx="223">
                  <c:v>71.089995999999999</c:v>
                </c:pt>
                <c:pt idx="224">
                  <c:v>71.050003000000004</c:v>
                </c:pt>
                <c:pt idx="225">
                  <c:v>69.860000999999997</c:v>
                </c:pt>
                <c:pt idx="226">
                  <c:v>71.129997000000003</c:v>
                </c:pt>
                <c:pt idx="227">
                  <c:v>69.510002</c:v>
                </c:pt>
                <c:pt idx="228">
                  <c:v>69.559997999999993</c:v>
                </c:pt>
                <c:pt idx="229">
                  <c:v>69.449996999999996</c:v>
                </c:pt>
                <c:pt idx="230">
                  <c:v>70.120002999999997</c:v>
                </c:pt>
                <c:pt idx="231">
                  <c:v>70.239998</c:v>
                </c:pt>
                <c:pt idx="232">
                  <c:v>71.620002999999997</c:v>
                </c:pt>
                <c:pt idx="233">
                  <c:v>71.559997999999993</c:v>
                </c:pt>
                <c:pt idx="234">
                  <c:v>70.290001000000004</c:v>
                </c:pt>
                <c:pt idx="235">
                  <c:v>70.360000999999997</c:v>
                </c:pt>
                <c:pt idx="236">
                  <c:v>68.769997000000004</c:v>
                </c:pt>
                <c:pt idx="237">
                  <c:v>67.589995999999999</c:v>
                </c:pt>
                <c:pt idx="238">
                  <c:v>63.75</c:v>
                </c:pt>
                <c:pt idx="239">
                  <c:v>62.209999000000003</c:v>
                </c:pt>
                <c:pt idx="240">
                  <c:v>60.959999000000003</c:v>
                </c:pt>
                <c:pt idx="241">
                  <c:v>61.130001</c:v>
                </c:pt>
                <c:pt idx="242">
                  <c:v>60.490001999999997</c:v>
                </c:pt>
                <c:pt idx="243">
                  <c:v>59.950001</c:v>
                </c:pt>
                <c:pt idx="244">
                  <c:v>60.119999</c:v>
                </c:pt>
                <c:pt idx="245">
                  <c:v>58.490001999999997</c:v>
                </c:pt>
                <c:pt idx="246">
                  <c:v>58.16</c:v>
                </c:pt>
                <c:pt idx="247">
                  <c:v>59.950001</c:v>
                </c:pt>
                <c:pt idx="248">
                  <c:v>58.990001999999997</c:v>
                </c:pt>
                <c:pt idx="249">
                  <c:v>60.290000999999997</c:v>
                </c:pt>
                <c:pt idx="250">
                  <c:v>61.169998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Data!$C$2</c:f>
              <c:strCache>
                <c:ptCount val="1"/>
                <c:pt idx="0">
                  <c:v>ARRS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Data!$C$3:$C$254</c:f>
              <c:numCache>
                <c:formatCode>* #,##0.00</c:formatCode>
                <c:ptCount val="252"/>
                <c:pt idx="0" formatCode="_-&quot;$&quot;* #,##0.00">
                  <c:v>26.84</c:v>
                </c:pt>
                <c:pt idx="1">
                  <c:v>25.98</c:v>
                </c:pt>
                <c:pt idx="2">
                  <c:v>26.469999000000001</c:v>
                </c:pt>
                <c:pt idx="3">
                  <c:v>26.040001</c:v>
                </c:pt>
                <c:pt idx="4">
                  <c:v>26.42</c:v>
                </c:pt>
                <c:pt idx="5">
                  <c:v>28.01</c:v>
                </c:pt>
                <c:pt idx="6">
                  <c:v>26.73</c:v>
                </c:pt>
                <c:pt idx="7">
                  <c:v>27.120000999999998</c:v>
                </c:pt>
                <c:pt idx="8">
                  <c:v>26.790001</c:v>
                </c:pt>
                <c:pt idx="9">
                  <c:v>27.32</c:v>
                </c:pt>
                <c:pt idx="10">
                  <c:v>28.209999</c:v>
                </c:pt>
                <c:pt idx="11">
                  <c:v>29.110001</c:v>
                </c:pt>
                <c:pt idx="12">
                  <c:v>30.52</c:v>
                </c:pt>
                <c:pt idx="13">
                  <c:v>30.4</c:v>
                </c:pt>
                <c:pt idx="14">
                  <c:v>30.57</c:v>
                </c:pt>
                <c:pt idx="15">
                  <c:v>30.83</c:v>
                </c:pt>
                <c:pt idx="16">
                  <c:v>30.709999</c:v>
                </c:pt>
                <c:pt idx="17">
                  <c:v>29.940000999999999</c:v>
                </c:pt>
                <c:pt idx="18">
                  <c:v>29.780000999999999</c:v>
                </c:pt>
                <c:pt idx="19">
                  <c:v>29.41</c:v>
                </c:pt>
                <c:pt idx="20">
                  <c:v>29.610001</c:v>
                </c:pt>
                <c:pt idx="21">
                  <c:v>29.629999000000002</c:v>
                </c:pt>
                <c:pt idx="22">
                  <c:v>29.280000999999999</c:v>
                </c:pt>
                <c:pt idx="23">
                  <c:v>29.860001</c:v>
                </c:pt>
                <c:pt idx="24">
                  <c:v>30.200001</c:v>
                </c:pt>
                <c:pt idx="25">
                  <c:v>30.379999000000002</c:v>
                </c:pt>
                <c:pt idx="26">
                  <c:v>30.52</c:v>
                </c:pt>
                <c:pt idx="27">
                  <c:v>30.65</c:v>
                </c:pt>
                <c:pt idx="28">
                  <c:v>31.51</c:v>
                </c:pt>
                <c:pt idx="29">
                  <c:v>31.51</c:v>
                </c:pt>
                <c:pt idx="30">
                  <c:v>31.799999</c:v>
                </c:pt>
                <c:pt idx="31">
                  <c:v>32.009998000000003</c:v>
                </c:pt>
                <c:pt idx="32">
                  <c:v>32.669998</c:v>
                </c:pt>
                <c:pt idx="33">
                  <c:v>31.99</c:v>
                </c:pt>
                <c:pt idx="34">
                  <c:v>32.270000000000003</c:v>
                </c:pt>
                <c:pt idx="35">
                  <c:v>31.110001</c:v>
                </c:pt>
                <c:pt idx="36">
                  <c:v>30.57</c:v>
                </c:pt>
                <c:pt idx="37">
                  <c:v>30.459999</c:v>
                </c:pt>
                <c:pt idx="38">
                  <c:v>30.52</c:v>
                </c:pt>
                <c:pt idx="39">
                  <c:v>30.48</c:v>
                </c:pt>
                <c:pt idx="40">
                  <c:v>30.5</c:v>
                </c:pt>
                <c:pt idx="41">
                  <c:v>30.389999</c:v>
                </c:pt>
                <c:pt idx="42">
                  <c:v>29.719999000000001</c:v>
                </c:pt>
                <c:pt idx="43">
                  <c:v>29.07</c:v>
                </c:pt>
                <c:pt idx="44">
                  <c:v>28.440000999999999</c:v>
                </c:pt>
                <c:pt idx="45">
                  <c:v>28.370000999999998</c:v>
                </c:pt>
                <c:pt idx="46">
                  <c:v>27.84</c:v>
                </c:pt>
                <c:pt idx="47">
                  <c:v>27.809999000000001</c:v>
                </c:pt>
                <c:pt idx="48">
                  <c:v>28.809999000000001</c:v>
                </c:pt>
                <c:pt idx="49">
                  <c:v>28.719999000000001</c:v>
                </c:pt>
                <c:pt idx="50">
                  <c:v>28.48</c:v>
                </c:pt>
                <c:pt idx="51">
                  <c:v>28.799999</c:v>
                </c:pt>
                <c:pt idx="52">
                  <c:v>28.360001</c:v>
                </c:pt>
                <c:pt idx="53">
                  <c:v>28.290001</c:v>
                </c:pt>
                <c:pt idx="54">
                  <c:v>28.01</c:v>
                </c:pt>
                <c:pt idx="55">
                  <c:v>28.59</c:v>
                </c:pt>
                <c:pt idx="56">
                  <c:v>28.26</c:v>
                </c:pt>
                <c:pt idx="57">
                  <c:v>28.08</c:v>
                </c:pt>
                <c:pt idx="58">
                  <c:v>29.74</c:v>
                </c:pt>
                <c:pt idx="59">
                  <c:v>28.809999000000001</c:v>
                </c:pt>
                <c:pt idx="60">
                  <c:v>29.1</c:v>
                </c:pt>
                <c:pt idx="61">
                  <c:v>29.6</c:v>
                </c:pt>
                <c:pt idx="62">
                  <c:v>29.030000999999999</c:v>
                </c:pt>
                <c:pt idx="63">
                  <c:v>28.26</c:v>
                </c:pt>
                <c:pt idx="64">
                  <c:v>28.860001</c:v>
                </c:pt>
                <c:pt idx="65">
                  <c:v>28.73</c:v>
                </c:pt>
                <c:pt idx="66">
                  <c:v>28.969999000000001</c:v>
                </c:pt>
                <c:pt idx="67">
                  <c:v>28.559999000000001</c:v>
                </c:pt>
                <c:pt idx="68">
                  <c:v>28.190000999999999</c:v>
                </c:pt>
                <c:pt idx="69">
                  <c:v>28.09</c:v>
                </c:pt>
                <c:pt idx="70">
                  <c:v>28.49</c:v>
                </c:pt>
                <c:pt idx="71">
                  <c:v>28.379999000000002</c:v>
                </c:pt>
                <c:pt idx="72">
                  <c:v>27.82</c:v>
                </c:pt>
                <c:pt idx="73">
                  <c:v>27.629999000000002</c:v>
                </c:pt>
                <c:pt idx="74">
                  <c:v>27.5</c:v>
                </c:pt>
                <c:pt idx="75">
                  <c:v>27.4</c:v>
                </c:pt>
                <c:pt idx="76">
                  <c:v>26.59</c:v>
                </c:pt>
                <c:pt idx="77">
                  <c:v>26.030000999999999</c:v>
                </c:pt>
                <c:pt idx="78">
                  <c:v>25.969999000000001</c:v>
                </c:pt>
                <c:pt idx="79">
                  <c:v>25.790001</c:v>
                </c:pt>
                <c:pt idx="80">
                  <c:v>25.91</c:v>
                </c:pt>
                <c:pt idx="81">
                  <c:v>26.42</c:v>
                </c:pt>
                <c:pt idx="82">
                  <c:v>26.18</c:v>
                </c:pt>
                <c:pt idx="83">
                  <c:v>26.219999000000001</c:v>
                </c:pt>
                <c:pt idx="84">
                  <c:v>26.459999</c:v>
                </c:pt>
                <c:pt idx="85">
                  <c:v>26.870000999999998</c:v>
                </c:pt>
                <c:pt idx="86">
                  <c:v>26.99</c:v>
                </c:pt>
                <c:pt idx="87">
                  <c:v>27.639999</c:v>
                </c:pt>
                <c:pt idx="88">
                  <c:v>27.84</c:v>
                </c:pt>
                <c:pt idx="89">
                  <c:v>27.57</c:v>
                </c:pt>
                <c:pt idx="90">
                  <c:v>27.469999000000001</c:v>
                </c:pt>
                <c:pt idx="91">
                  <c:v>27.459999</c:v>
                </c:pt>
                <c:pt idx="92">
                  <c:v>27.799999</c:v>
                </c:pt>
                <c:pt idx="93">
                  <c:v>27.48</c:v>
                </c:pt>
                <c:pt idx="94">
                  <c:v>26.73</c:v>
                </c:pt>
                <c:pt idx="95">
                  <c:v>25.92</c:v>
                </c:pt>
                <c:pt idx="96">
                  <c:v>26.1</c:v>
                </c:pt>
                <c:pt idx="97">
                  <c:v>25.969999000000001</c:v>
                </c:pt>
                <c:pt idx="98">
                  <c:v>25.6</c:v>
                </c:pt>
                <c:pt idx="99">
                  <c:v>26.42</c:v>
                </c:pt>
                <c:pt idx="100">
                  <c:v>26.82</c:v>
                </c:pt>
                <c:pt idx="101">
                  <c:v>26.33</c:v>
                </c:pt>
                <c:pt idx="102">
                  <c:v>25.66</c:v>
                </c:pt>
                <c:pt idx="103">
                  <c:v>24.99</c:v>
                </c:pt>
                <c:pt idx="104">
                  <c:v>25.32</c:v>
                </c:pt>
                <c:pt idx="105">
                  <c:v>26.440000999999999</c:v>
                </c:pt>
                <c:pt idx="106">
                  <c:v>26.92</c:v>
                </c:pt>
                <c:pt idx="107">
                  <c:v>27.92</c:v>
                </c:pt>
                <c:pt idx="108">
                  <c:v>27.540001</c:v>
                </c:pt>
                <c:pt idx="109">
                  <c:v>27.959999</c:v>
                </c:pt>
                <c:pt idx="110">
                  <c:v>27.540001</c:v>
                </c:pt>
                <c:pt idx="111">
                  <c:v>27.629999000000002</c:v>
                </c:pt>
                <c:pt idx="112">
                  <c:v>27.469999000000001</c:v>
                </c:pt>
                <c:pt idx="113">
                  <c:v>27.92</c:v>
                </c:pt>
                <c:pt idx="114">
                  <c:v>28.620000999999998</c:v>
                </c:pt>
                <c:pt idx="115">
                  <c:v>27.66</c:v>
                </c:pt>
                <c:pt idx="116">
                  <c:v>27.889999</c:v>
                </c:pt>
                <c:pt idx="117">
                  <c:v>29.200001</c:v>
                </c:pt>
                <c:pt idx="118">
                  <c:v>30.15</c:v>
                </c:pt>
                <c:pt idx="119">
                  <c:v>30.32</c:v>
                </c:pt>
                <c:pt idx="120">
                  <c:v>30.92</c:v>
                </c:pt>
                <c:pt idx="121">
                  <c:v>30.48</c:v>
                </c:pt>
                <c:pt idx="122">
                  <c:v>30.6</c:v>
                </c:pt>
                <c:pt idx="123">
                  <c:v>30.219999000000001</c:v>
                </c:pt>
                <c:pt idx="124">
                  <c:v>30.08</c:v>
                </c:pt>
                <c:pt idx="125">
                  <c:v>30.52</c:v>
                </c:pt>
                <c:pt idx="126">
                  <c:v>30.629999000000002</c:v>
                </c:pt>
                <c:pt idx="127">
                  <c:v>30.15</c:v>
                </c:pt>
                <c:pt idx="128">
                  <c:v>30.32</c:v>
                </c:pt>
                <c:pt idx="129">
                  <c:v>30.25</c:v>
                </c:pt>
                <c:pt idx="130">
                  <c:v>30.66</c:v>
                </c:pt>
                <c:pt idx="131">
                  <c:v>31.219999000000001</c:v>
                </c:pt>
                <c:pt idx="132">
                  <c:v>31.51</c:v>
                </c:pt>
                <c:pt idx="133">
                  <c:v>31.65</c:v>
                </c:pt>
                <c:pt idx="134">
                  <c:v>32</c:v>
                </c:pt>
                <c:pt idx="135">
                  <c:v>30.85</c:v>
                </c:pt>
                <c:pt idx="136">
                  <c:v>30.299999</c:v>
                </c:pt>
                <c:pt idx="137">
                  <c:v>30.379999000000002</c:v>
                </c:pt>
                <c:pt idx="138">
                  <c:v>30.57</c:v>
                </c:pt>
                <c:pt idx="139">
                  <c:v>30.559999000000001</c:v>
                </c:pt>
                <c:pt idx="140">
                  <c:v>30.809999000000001</c:v>
                </c:pt>
                <c:pt idx="141">
                  <c:v>30.41</c:v>
                </c:pt>
                <c:pt idx="142">
                  <c:v>30.6</c:v>
                </c:pt>
                <c:pt idx="143">
                  <c:v>30.82</c:v>
                </c:pt>
                <c:pt idx="144">
                  <c:v>31.459999</c:v>
                </c:pt>
                <c:pt idx="145">
                  <c:v>31.99</c:v>
                </c:pt>
                <c:pt idx="146">
                  <c:v>32.400002000000001</c:v>
                </c:pt>
                <c:pt idx="147">
                  <c:v>32.869999</c:v>
                </c:pt>
                <c:pt idx="148">
                  <c:v>32.619999</c:v>
                </c:pt>
                <c:pt idx="149">
                  <c:v>32.240001999999997</c:v>
                </c:pt>
                <c:pt idx="150">
                  <c:v>32.049999</c:v>
                </c:pt>
                <c:pt idx="151">
                  <c:v>31.809999000000001</c:v>
                </c:pt>
                <c:pt idx="152">
                  <c:v>31.67</c:v>
                </c:pt>
                <c:pt idx="153">
                  <c:v>32.159999999999997</c:v>
                </c:pt>
                <c:pt idx="154">
                  <c:v>32.32</c:v>
                </c:pt>
                <c:pt idx="155">
                  <c:v>32.150002000000001</c:v>
                </c:pt>
                <c:pt idx="156">
                  <c:v>32.459999000000003</c:v>
                </c:pt>
                <c:pt idx="157">
                  <c:v>32.840000000000003</c:v>
                </c:pt>
                <c:pt idx="158">
                  <c:v>33.18</c:v>
                </c:pt>
                <c:pt idx="159">
                  <c:v>33.900002000000001</c:v>
                </c:pt>
                <c:pt idx="160">
                  <c:v>33.82</c:v>
                </c:pt>
                <c:pt idx="161">
                  <c:v>33.840000000000003</c:v>
                </c:pt>
                <c:pt idx="162">
                  <c:v>33.18</c:v>
                </c:pt>
                <c:pt idx="163">
                  <c:v>32.669998</c:v>
                </c:pt>
                <c:pt idx="164">
                  <c:v>33.009998000000003</c:v>
                </c:pt>
                <c:pt idx="165">
                  <c:v>32.979999999999997</c:v>
                </c:pt>
                <c:pt idx="166">
                  <c:v>33.099997999999999</c:v>
                </c:pt>
                <c:pt idx="167">
                  <c:v>32.82</c:v>
                </c:pt>
                <c:pt idx="168">
                  <c:v>33.189999</c:v>
                </c:pt>
                <c:pt idx="169">
                  <c:v>33.330002</c:v>
                </c:pt>
                <c:pt idx="170">
                  <c:v>33.520000000000003</c:v>
                </c:pt>
                <c:pt idx="171">
                  <c:v>33.639999000000003</c:v>
                </c:pt>
                <c:pt idx="172">
                  <c:v>33.810001</c:v>
                </c:pt>
                <c:pt idx="173">
                  <c:v>33.950001</c:v>
                </c:pt>
                <c:pt idx="174">
                  <c:v>33.599997999999999</c:v>
                </c:pt>
                <c:pt idx="175">
                  <c:v>33.700001</c:v>
                </c:pt>
                <c:pt idx="176">
                  <c:v>33.799999</c:v>
                </c:pt>
                <c:pt idx="177">
                  <c:v>34.009998000000003</c:v>
                </c:pt>
                <c:pt idx="178">
                  <c:v>33.82</c:v>
                </c:pt>
                <c:pt idx="179">
                  <c:v>33.200001</c:v>
                </c:pt>
                <c:pt idx="180">
                  <c:v>33.439999</c:v>
                </c:pt>
                <c:pt idx="181">
                  <c:v>34.080002</c:v>
                </c:pt>
                <c:pt idx="182">
                  <c:v>34.32</c:v>
                </c:pt>
                <c:pt idx="183">
                  <c:v>34.360000999999997</c:v>
                </c:pt>
                <c:pt idx="184">
                  <c:v>33.669998</c:v>
                </c:pt>
                <c:pt idx="185">
                  <c:v>34.68</c:v>
                </c:pt>
                <c:pt idx="186">
                  <c:v>34.990001999999997</c:v>
                </c:pt>
                <c:pt idx="187">
                  <c:v>34.979999999999997</c:v>
                </c:pt>
                <c:pt idx="188">
                  <c:v>35.759998000000003</c:v>
                </c:pt>
                <c:pt idx="189">
                  <c:v>37.299999</c:v>
                </c:pt>
                <c:pt idx="190">
                  <c:v>30.540001</c:v>
                </c:pt>
                <c:pt idx="191">
                  <c:v>30.16</c:v>
                </c:pt>
                <c:pt idx="192">
                  <c:v>30</c:v>
                </c:pt>
                <c:pt idx="193">
                  <c:v>29.82</c:v>
                </c:pt>
                <c:pt idx="194">
                  <c:v>29.969999000000001</c:v>
                </c:pt>
                <c:pt idx="195">
                  <c:v>29.74</c:v>
                </c:pt>
                <c:pt idx="196">
                  <c:v>29.26</c:v>
                </c:pt>
                <c:pt idx="197">
                  <c:v>28.790001</c:v>
                </c:pt>
                <c:pt idx="198">
                  <c:v>29.190000999999999</c:v>
                </c:pt>
                <c:pt idx="199">
                  <c:v>29.52</c:v>
                </c:pt>
                <c:pt idx="200">
                  <c:v>29.450001</c:v>
                </c:pt>
                <c:pt idx="201">
                  <c:v>29.68</c:v>
                </c:pt>
                <c:pt idx="202">
                  <c:v>29.530000999999999</c:v>
                </c:pt>
                <c:pt idx="203">
                  <c:v>29.309999000000001</c:v>
                </c:pt>
                <c:pt idx="204">
                  <c:v>29.030000999999999</c:v>
                </c:pt>
                <c:pt idx="205">
                  <c:v>28.9</c:v>
                </c:pt>
                <c:pt idx="206">
                  <c:v>29.08</c:v>
                </c:pt>
                <c:pt idx="207">
                  <c:v>28.33</c:v>
                </c:pt>
                <c:pt idx="208">
                  <c:v>28.33</c:v>
                </c:pt>
                <c:pt idx="209">
                  <c:v>28.639999</c:v>
                </c:pt>
                <c:pt idx="210">
                  <c:v>30.1</c:v>
                </c:pt>
                <c:pt idx="211">
                  <c:v>30.950001</c:v>
                </c:pt>
                <c:pt idx="212">
                  <c:v>31.18</c:v>
                </c:pt>
                <c:pt idx="213">
                  <c:v>31.15</c:v>
                </c:pt>
                <c:pt idx="214">
                  <c:v>31.030000999999999</c:v>
                </c:pt>
                <c:pt idx="215">
                  <c:v>30.57</c:v>
                </c:pt>
                <c:pt idx="216">
                  <c:v>30.620000999999998</c:v>
                </c:pt>
                <c:pt idx="217">
                  <c:v>29.799999</c:v>
                </c:pt>
                <c:pt idx="218">
                  <c:v>30.129999000000002</c:v>
                </c:pt>
                <c:pt idx="219">
                  <c:v>29.780000999999999</c:v>
                </c:pt>
                <c:pt idx="220">
                  <c:v>28.91</c:v>
                </c:pt>
                <c:pt idx="221">
                  <c:v>28.700001</c:v>
                </c:pt>
                <c:pt idx="222">
                  <c:v>28.540001</c:v>
                </c:pt>
                <c:pt idx="223">
                  <c:v>29</c:v>
                </c:pt>
                <c:pt idx="224">
                  <c:v>29.219999000000001</c:v>
                </c:pt>
                <c:pt idx="225">
                  <c:v>29.620000999999998</c:v>
                </c:pt>
                <c:pt idx="226">
                  <c:v>29.809999000000001</c:v>
                </c:pt>
                <c:pt idx="227">
                  <c:v>29.379999000000002</c:v>
                </c:pt>
                <c:pt idx="228">
                  <c:v>29.17</c:v>
                </c:pt>
                <c:pt idx="229">
                  <c:v>29.01</c:v>
                </c:pt>
                <c:pt idx="230">
                  <c:v>29.01</c:v>
                </c:pt>
                <c:pt idx="231">
                  <c:v>28.65</c:v>
                </c:pt>
                <c:pt idx="232">
                  <c:v>28.59</c:v>
                </c:pt>
                <c:pt idx="233">
                  <c:v>29.1</c:v>
                </c:pt>
                <c:pt idx="234">
                  <c:v>27.809999000000001</c:v>
                </c:pt>
                <c:pt idx="235">
                  <c:v>26.459999</c:v>
                </c:pt>
                <c:pt idx="236">
                  <c:v>26.690000999999999</c:v>
                </c:pt>
                <c:pt idx="237">
                  <c:v>26.280000999999999</c:v>
                </c:pt>
                <c:pt idx="238">
                  <c:v>26</c:v>
                </c:pt>
                <c:pt idx="239">
                  <c:v>26.6</c:v>
                </c:pt>
                <c:pt idx="240">
                  <c:v>27.1</c:v>
                </c:pt>
                <c:pt idx="241">
                  <c:v>26.93</c:v>
                </c:pt>
                <c:pt idx="242">
                  <c:v>26.98</c:v>
                </c:pt>
                <c:pt idx="243">
                  <c:v>26.59</c:v>
                </c:pt>
                <c:pt idx="244">
                  <c:v>26.790001</c:v>
                </c:pt>
                <c:pt idx="245">
                  <c:v>26.440000999999999</c:v>
                </c:pt>
                <c:pt idx="246">
                  <c:v>26.219999000000001</c:v>
                </c:pt>
                <c:pt idx="247">
                  <c:v>26.84</c:v>
                </c:pt>
                <c:pt idx="248">
                  <c:v>26.379999000000002</c:v>
                </c:pt>
                <c:pt idx="249">
                  <c:v>27.059999000000001</c:v>
                </c:pt>
                <c:pt idx="250">
                  <c:v>27.48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Data!$D$2</c:f>
              <c:strCache>
                <c:ptCount val="1"/>
                <c:pt idx="0">
                  <c:v>QCOM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Data!$D$3:$D$254</c:f>
              <c:numCache>
                <c:formatCode>* #,##0.00</c:formatCode>
                <c:ptCount val="252"/>
                <c:pt idx="0" formatCode="_-&quot;$&quot;* #,##0.00">
                  <c:v>48.07</c:v>
                </c:pt>
                <c:pt idx="1">
                  <c:v>47.049999</c:v>
                </c:pt>
                <c:pt idx="2">
                  <c:v>45.93</c:v>
                </c:pt>
                <c:pt idx="3">
                  <c:v>46.09</c:v>
                </c:pt>
                <c:pt idx="4">
                  <c:v>45.82</c:v>
                </c:pt>
                <c:pt idx="5">
                  <c:v>47.73</c:v>
                </c:pt>
                <c:pt idx="6">
                  <c:v>46.099997999999999</c:v>
                </c:pt>
                <c:pt idx="7">
                  <c:v>46.52</c:v>
                </c:pt>
                <c:pt idx="8">
                  <c:v>46.07</c:v>
                </c:pt>
                <c:pt idx="9">
                  <c:v>45.880001</c:v>
                </c:pt>
                <c:pt idx="10">
                  <c:v>46.139999000000003</c:v>
                </c:pt>
                <c:pt idx="11">
                  <c:v>48.639999000000003</c:v>
                </c:pt>
                <c:pt idx="12">
                  <c:v>49.139999000000003</c:v>
                </c:pt>
                <c:pt idx="13">
                  <c:v>50.119999</c:v>
                </c:pt>
                <c:pt idx="14">
                  <c:v>49.990001999999997</c:v>
                </c:pt>
                <c:pt idx="15">
                  <c:v>50.41</c:v>
                </c:pt>
                <c:pt idx="16">
                  <c:v>50.880001</c:v>
                </c:pt>
                <c:pt idx="17">
                  <c:v>49.580002</c:v>
                </c:pt>
                <c:pt idx="18">
                  <c:v>49.549999</c:v>
                </c:pt>
                <c:pt idx="19">
                  <c:v>49.040000999999997</c:v>
                </c:pt>
                <c:pt idx="20">
                  <c:v>49.07</c:v>
                </c:pt>
                <c:pt idx="21">
                  <c:v>48.759998000000003</c:v>
                </c:pt>
                <c:pt idx="22">
                  <c:v>47.43</c:v>
                </c:pt>
                <c:pt idx="23">
                  <c:v>47.540000999999997</c:v>
                </c:pt>
                <c:pt idx="24">
                  <c:v>48.07</c:v>
                </c:pt>
                <c:pt idx="25">
                  <c:v>48.02</c:v>
                </c:pt>
                <c:pt idx="26">
                  <c:v>46.830002</c:v>
                </c:pt>
                <c:pt idx="27">
                  <c:v>47.459999000000003</c:v>
                </c:pt>
                <c:pt idx="28">
                  <c:v>48.57</c:v>
                </c:pt>
                <c:pt idx="29">
                  <c:v>48.59</c:v>
                </c:pt>
                <c:pt idx="30">
                  <c:v>49.48</c:v>
                </c:pt>
                <c:pt idx="31">
                  <c:v>52.43</c:v>
                </c:pt>
                <c:pt idx="32">
                  <c:v>52.34</c:v>
                </c:pt>
                <c:pt idx="33">
                  <c:v>51.400002000000001</c:v>
                </c:pt>
                <c:pt idx="34">
                  <c:v>51.849997999999999</c:v>
                </c:pt>
                <c:pt idx="35">
                  <c:v>49.299999</c:v>
                </c:pt>
                <c:pt idx="36">
                  <c:v>48.790000999999997</c:v>
                </c:pt>
                <c:pt idx="37">
                  <c:v>48.540000999999997</c:v>
                </c:pt>
                <c:pt idx="38">
                  <c:v>48.619996999999998</c:v>
                </c:pt>
                <c:pt idx="39">
                  <c:v>48.926968000000002</c:v>
                </c:pt>
                <c:pt idx="40">
                  <c:v>48.491270999999998</c:v>
                </c:pt>
                <c:pt idx="41">
                  <c:v>49.134914000000002</c:v>
                </c:pt>
                <c:pt idx="42">
                  <c:v>47.916938999999999</c:v>
                </c:pt>
                <c:pt idx="43">
                  <c:v>47.530752</c:v>
                </c:pt>
                <c:pt idx="44">
                  <c:v>52.462066999999998</c:v>
                </c:pt>
                <c:pt idx="45">
                  <c:v>52.254120999999998</c:v>
                </c:pt>
                <c:pt idx="46">
                  <c:v>51.432232999999997</c:v>
                </c:pt>
                <c:pt idx="47">
                  <c:v>52.065980000000003</c:v>
                </c:pt>
                <c:pt idx="48">
                  <c:v>52.333337</c:v>
                </c:pt>
                <c:pt idx="49">
                  <c:v>51.759008999999999</c:v>
                </c:pt>
                <c:pt idx="50">
                  <c:v>52.422457000000001</c:v>
                </c:pt>
                <c:pt idx="51">
                  <c:v>52.897764000000002</c:v>
                </c:pt>
                <c:pt idx="52">
                  <c:v>50.570740000000001</c:v>
                </c:pt>
                <c:pt idx="53">
                  <c:v>59.670896999999997</c:v>
                </c:pt>
                <c:pt idx="54">
                  <c:v>60.274934000000002</c:v>
                </c:pt>
                <c:pt idx="55">
                  <c:v>60.047182999999997</c:v>
                </c:pt>
                <c:pt idx="56">
                  <c:v>58.839108000000003</c:v>
                </c:pt>
                <c:pt idx="57">
                  <c:v>59.413440000000001</c:v>
                </c:pt>
                <c:pt idx="58">
                  <c:v>59.680801000000002</c:v>
                </c:pt>
                <c:pt idx="59">
                  <c:v>58.700477999999997</c:v>
                </c:pt>
                <c:pt idx="60">
                  <c:v>58.631162000000003</c:v>
                </c:pt>
                <c:pt idx="61">
                  <c:v>60.136302999999998</c:v>
                </c:pt>
                <c:pt idx="62">
                  <c:v>59.839236999999997</c:v>
                </c:pt>
                <c:pt idx="63">
                  <c:v>58.393510999999997</c:v>
                </c:pt>
                <c:pt idx="64">
                  <c:v>58.423215999999996</c:v>
                </c:pt>
                <c:pt idx="65">
                  <c:v>58.522236999999997</c:v>
                </c:pt>
                <c:pt idx="66">
                  <c:v>59.32432</c:v>
                </c:pt>
                <c:pt idx="67">
                  <c:v>58.680672999999999</c:v>
                </c:pt>
                <c:pt idx="68">
                  <c:v>58.056834000000002</c:v>
                </c:pt>
                <c:pt idx="69">
                  <c:v>56.947780999999999</c:v>
                </c:pt>
                <c:pt idx="70">
                  <c:v>57.225045999999999</c:v>
                </c:pt>
                <c:pt idx="71">
                  <c:v>57.215142</c:v>
                </c:pt>
                <c:pt idx="72">
                  <c:v>57.096316000000002</c:v>
                </c:pt>
                <c:pt idx="73">
                  <c:v>56.056581000000001</c:v>
                </c:pt>
                <c:pt idx="74">
                  <c:v>55.769416</c:v>
                </c:pt>
                <c:pt idx="75">
                  <c:v>55.680295000000001</c:v>
                </c:pt>
                <c:pt idx="76">
                  <c:v>54.531635999999999</c:v>
                </c:pt>
                <c:pt idx="77">
                  <c:v>52.660113000000003</c:v>
                </c:pt>
                <c:pt idx="78">
                  <c:v>53.204734999999999</c:v>
                </c:pt>
                <c:pt idx="79">
                  <c:v>51.917445000000001</c:v>
                </c:pt>
                <c:pt idx="80">
                  <c:v>52.02637</c:v>
                </c:pt>
                <c:pt idx="81">
                  <c:v>52.699722999999999</c:v>
                </c:pt>
                <c:pt idx="82">
                  <c:v>52.749232999999997</c:v>
                </c:pt>
                <c:pt idx="83">
                  <c:v>53.036399000000003</c:v>
                </c:pt>
                <c:pt idx="84">
                  <c:v>53.412680999999999</c:v>
                </c:pt>
                <c:pt idx="85">
                  <c:v>53.858283</c:v>
                </c:pt>
                <c:pt idx="86">
                  <c:v>53.917698000000001</c:v>
                </c:pt>
                <c:pt idx="87">
                  <c:v>54.442515</c:v>
                </c:pt>
                <c:pt idx="88">
                  <c:v>54.660366000000003</c:v>
                </c:pt>
                <c:pt idx="89">
                  <c:v>54.333590000000001</c:v>
                </c:pt>
                <c:pt idx="90">
                  <c:v>53.779066999999998</c:v>
                </c:pt>
                <c:pt idx="91">
                  <c:v>54.125644000000001</c:v>
                </c:pt>
                <c:pt idx="92">
                  <c:v>54.789096000000001</c:v>
                </c:pt>
                <c:pt idx="93">
                  <c:v>53.788967999999997</c:v>
                </c:pt>
                <c:pt idx="94">
                  <c:v>54.660366000000003</c:v>
                </c:pt>
                <c:pt idx="95">
                  <c:v>53.759262</c:v>
                </c:pt>
                <c:pt idx="96">
                  <c:v>55.006943</c:v>
                </c:pt>
                <c:pt idx="97">
                  <c:v>55.313912999999999</c:v>
                </c:pt>
                <c:pt idx="98">
                  <c:v>54.482125000000003</c:v>
                </c:pt>
                <c:pt idx="99">
                  <c:v>56.026876000000001</c:v>
                </c:pt>
                <c:pt idx="100">
                  <c:v>56.413065000000003</c:v>
                </c:pt>
                <c:pt idx="101">
                  <c:v>56.324688999999999</c:v>
                </c:pt>
                <c:pt idx="102">
                  <c:v>55.637323000000002</c:v>
                </c:pt>
                <c:pt idx="103">
                  <c:v>52.907502000000001</c:v>
                </c:pt>
                <c:pt idx="104">
                  <c:v>54.282229999999998</c:v>
                </c:pt>
                <c:pt idx="105">
                  <c:v>56.570177000000001</c:v>
                </c:pt>
                <c:pt idx="106">
                  <c:v>59.064332999999998</c:v>
                </c:pt>
                <c:pt idx="107">
                  <c:v>60.075740000000003</c:v>
                </c:pt>
                <c:pt idx="108">
                  <c:v>60.213213000000003</c:v>
                </c:pt>
                <c:pt idx="109">
                  <c:v>60.949675999999997</c:v>
                </c:pt>
                <c:pt idx="110">
                  <c:v>60.792563999999999</c:v>
                </c:pt>
                <c:pt idx="111">
                  <c:v>60.910397000000003</c:v>
                </c:pt>
                <c:pt idx="112">
                  <c:v>61.450473000000002</c:v>
                </c:pt>
                <c:pt idx="113">
                  <c:v>61.421011999999997</c:v>
                </c:pt>
                <c:pt idx="114">
                  <c:v>62.010184000000002</c:v>
                </c:pt>
                <c:pt idx="115">
                  <c:v>61.882530000000003</c:v>
                </c:pt>
                <c:pt idx="116">
                  <c:v>61.705778000000002</c:v>
                </c:pt>
                <c:pt idx="117">
                  <c:v>62.727007999999998</c:v>
                </c:pt>
                <c:pt idx="118">
                  <c:v>62.304769</c:v>
                </c:pt>
                <c:pt idx="119">
                  <c:v>63.26708</c:v>
                </c:pt>
                <c:pt idx="120">
                  <c:v>63.227800999999999</c:v>
                </c:pt>
                <c:pt idx="121">
                  <c:v>63.247444000000002</c:v>
                </c:pt>
                <c:pt idx="122">
                  <c:v>62.029820000000001</c:v>
                </c:pt>
                <c:pt idx="123">
                  <c:v>61.961084</c:v>
                </c:pt>
                <c:pt idx="124">
                  <c:v>60.8613</c:v>
                </c:pt>
                <c:pt idx="125">
                  <c:v>60.527436999999999</c:v>
                </c:pt>
                <c:pt idx="126">
                  <c:v>60.664909000000002</c:v>
                </c:pt>
                <c:pt idx="127">
                  <c:v>63.031413999999998</c:v>
                </c:pt>
                <c:pt idx="128">
                  <c:v>63.964264</c:v>
                </c:pt>
                <c:pt idx="129">
                  <c:v>62.638632000000001</c:v>
                </c:pt>
                <c:pt idx="130">
                  <c:v>63.178700999999997</c:v>
                </c:pt>
                <c:pt idx="131">
                  <c:v>63.384917000000002</c:v>
                </c:pt>
                <c:pt idx="132">
                  <c:v>62.727007999999998</c:v>
                </c:pt>
                <c:pt idx="133">
                  <c:v>62.785922999999997</c:v>
                </c:pt>
                <c:pt idx="134">
                  <c:v>62.285128999999998</c:v>
                </c:pt>
                <c:pt idx="135">
                  <c:v>61.597763</c:v>
                </c:pt>
                <c:pt idx="136">
                  <c:v>60.743467000000003</c:v>
                </c:pt>
                <c:pt idx="137">
                  <c:v>60.792563999999999</c:v>
                </c:pt>
                <c:pt idx="138">
                  <c:v>61.666499000000002</c:v>
                </c:pt>
                <c:pt idx="139">
                  <c:v>61.970905999999999</c:v>
                </c:pt>
                <c:pt idx="140">
                  <c:v>61.970905999999999</c:v>
                </c:pt>
                <c:pt idx="141">
                  <c:v>61.764696999999998</c:v>
                </c:pt>
                <c:pt idx="142">
                  <c:v>61.499569999999999</c:v>
                </c:pt>
                <c:pt idx="143">
                  <c:v>61.489747999999999</c:v>
                </c:pt>
                <c:pt idx="144">
                  <c:v>63.502746000000002</c:v>
                </c:pt>
                <c:pt idx="145">
                  <c:v>64.082100999999994</c:v>
                </c:pt>
                <c:pt idx="146">
                  <c:v>64.170473000000001</c:v>
                </c:pt>
                <c:pt idx="147">
                  <c:v>65.771056999999999</c:v>
                </c:pt>
                <c:pt idx="148">
                  <c:v>66.144195999999994</c:v>
                </c:pt>
                <c:pt idx="149">
                  <c:v>65.672855999999996</c:v>
                </c:pt>
                <c:pt idx="150">
                  <c:v>66.144195999999994</c:v>
                </c:pt>
                <c:pt idx="151">
                  <c:v>65.348817999999994</c:v>
                </c:pt>
                <c:pt idx="152">
                  <c:v>65.260439000000005</c:v>
                </c:pt>
                <c:pt idx="153">
                  <c:v>65.427368000000001</c:v>
                </c:pt>
                <c:pt idx="154">
                  <c:v>65.820149999999998</c:v>
                </c:pt>
                <c:pt idx="155">
                  <c:v>66.379862000000003</c:v>
                </c:pt>
                <c:pt idx="156">
                  <c:v>66.095095000000001</c:v>
                </c:pt>
                <c:pt idx="157">
                  <c:v>65.633577000000002</c:v>
                </c:pt>
                <c:pt idx="158">
                  <c:v>66.065638000000007</c:v>
                </c:pt>
                <c:pt idx="159">
                  <c:v>67.027952999999997</c:v>
                </c:pt>
                <c:pt idx="160">
                  <c:v>67.656401000000002</c:v>
                </c:pt>
                <c:pt idx="161">
                  <c:v>68.599072000000007</c:v>
                </c:pt>
                <c:pt idx="162">
                  <c:v>68.098275000000001</c:v>
                </c:pt>
                <c:pt idx="163">
                  <c:v>68.167012</c:v>
                </c:pt>
                <c:pt idx="164">
                  <c:v>67.950985000000003</c:v>
                </c:pt>
                <c:pt idx="165">
                  <c:v>68.848155000000006</c:v>
                </c:pt>
                <c:pt idx="166">
                  <c:v>69.257731000000007</c:v>
                </c:pt>
                <c:pt idx="167">
                  <c:v>67.638925999999998</c:v>
                </c:pt>
                <c:pt idx="168">
                  <c:v>67.785205000000005</c:v>
                </c:pt>
                <c:pt idx="169">
                  <c:v>68.350808000000001</c:v>
                </c:pt>
                <c:pt idx="170">
                  <c:v>67.560908999999995</c:v>
                </c:pt>
                <c:pt idx="171">
                  <c:v>67.892476000000002</c:v>
                </c:pt>
                <c:pt idx="172">
                  <c:v>68.672621000000007</c:v>
                </c:pt>
                <c:pt idx="173">
                  <c:v>69.29674</c:v>
                </c:pt>
                <c:pt idx="174">
                  <c:v>68.770138000000003</c:v>
                </c:pt>
                <c:pt idx="175">
                  <c:v>67.999746999999999</c:v>
                </c:pt>
                <c:pt idx="176">
                  <c:v>67.083070000000006</c:v>
                </c:pt>
                <c:pt idx="177">
                  <c:v>67.336619999999996</c:v>
                </c:pt>
                <c:pt idx="178">
                  <c:v>67.687687999999994</c:v>
                </c:pt>
                <c:pt idx="179">
                  <c:v>66.732001999999994</c:v>
                </c:pt>
                <c:pt idx="180">
                  <c:v>66.127384000000006</c:v>
                </c:pt>
                <c:pt idx="181">
                  <c:v>66.673492999999993</c:v>
                </c:pt>
                <c:pt idx="182">
                  <c:v>67.346367000000001</c:v>
                </c:pt>
                <c:pt idx="183">
                  <c:v>66.722247999999993</c:v>
                </c:pt>
                <c:pt idx="184">
                  <c:v>66.312672000000006</c:v>
                </c:pt>
                <c:pt idx="185">
                  <c:v>66.966044999999994</c:v>
                </c:pt>
                <c:pt idx="186">
                  <c:v>67.921730999999994</c:v>
                </c:pt>
                <c:pt idx="187">
                  <c:v>67.512153999999995</c:v>
                </c:pt>
                <c:pt idx="188">
                  <c:v>66.546713999999994</c:v>
                </c:pt>
                <c:pt idx="189">
                  <c:v>66.644231000000005</c:v>
                </c:pt>
                <c:pt idx="190">
                  <c:v>67.229348999999999</c:v>
                </c:pt>
                <c:pt idx="191">
                  <c:v>66.868527999999998</c:v>
                </c:pt>
                <c:pt idx="192">
                  <c:v>66.936790000000002</c:v>
                </c:pt>
                <c:pt idx="193">
                  <c:v>65.444755999999998</c:v>
                </c:pt>
                <c:pt idx="194">
                  <c:v>66.224907999999999</c:v>
                </c:pt>
                <c:pt idx="195">
                  <c:v>66.761256000000003</c:v>
                </c:pt>
                <c:pt idx="196">
                  <c:v>67.258604000000005</c:v>
                </c:pt>
                <c:pt idx="197">
                  <c:v>67.024561000000006</c:v>
                </c:pt>
                <c:pt idx="198">
                  <c:v>67.443890999999994</c:v>
                </c:pt>
                <c:pt idx="199">
                  <c:v>67.10257</c:v>
                </c:pt>
                <c:pt idx="200">
                  <c:v>65.591036000000003</c:v>
                </c:pt>
                <c:pt idx="201">
                  <c:v>65.649545000000003</c:v>
                </c:pt>
                <c:pt idx="202">
                  <c:v>66.078629000000006</c:v>
                </c:pt>
                <c:pt idx="203">
                  <c:v>66.283417</c:v>
                </c:pt>
                <c:pt idx="204">
                  <c:v>67.707188000000002</c:v>
                </c:pt>
                <c:pt idx="205">
                  <c:v>67.619417999999996</c:v>
                </c:pt>
                <c:pt idx="206">
                  <c:v>67.170833000000002</c:v>
                </c:pt>
                <c:pt idx="207">
                  <c:v>65.366739999999993</c:v>
                </c:pt>
                <c:pt idx="208">
                  <c:v>65.493519000000006</c:v>
                </c:pt>
                <c:pt idx="209">
                  <c:v>65.542274000000006</c:v>
                </c:pt>
                <c:pt idx="210">
                  <c:v>67.258604000000005</c:v>
                </c:pt>
                <c:pt idx="211">
                  <c:v>68.331306999999995</c:v>
                </c:pt>
                <c:pt idx="212">
                  <c:v>68.302053000000001</c:v>
                </c:pt>
                <c:pt idx="213">
                  <c:v>68.097263999999996</c:v>
                </c:pt>
                <c:pt idx="214">
                  <c:v>68.487340000000003</c:v>
                </c:pt>
                <c:pt idx="215">
                  <c:v>68.087511000000006</c:v>
                </c:pt>
                <c:pt idx="216">
                  <c:v>68.263043999999994</c:v>
                </c:pt>
                <c:pt idx="217">
                  <c:v>66.936790000000002</c:v>
                </c:pt>
                <c:pt idx="218">
                  <c:v>67.648679999999999</c:v>
                </c:pt>
                <c:pt idx="219">
                  <c:v>68.526341000000002</c:v>
                </c:pt>
                <c:pt idx="220">
                  <c:v>70.106145999999995</c:v>
                </c:pt>
                <c:pt idx="221">
                  <c:v>70.905798000000004</c:v>
                </c:pt>
                <c:pt idx="222">
                  <c:v>69.735578000000004</c:v>
                </c:pt>
                <c:pt idx="223">
                  <c:v>69.169967999999997</c:v>
                </c:pt>
                <c:pt idx="224">
                  <c:v>69.091950999999995</c:v>
                </c:pt>
                <c:pt idx="225">
                  <c:v>69.638060999999993</c:v>
                </c:pt>
                <c:pt idx="226">
                  <c:v>70.857044000000002</c:v>
                </c:pt>
                <c:pt idx="227">
                  <c:v>70.301182999999995</c:v>
                </c:pt>
                <c:pt idx="228">
                  <c:v>69.816413999999995</c:v>
                </c:pt>
                <c:pt idx="229">
                  <c:v>69.496465000000001</c:v>
                </c:pt>
                <c:pt idx="230">
                  <c:v>69.195910999999995</c:v>
                </c:pt>
                <c:pt idx="231">
                  <c:v>68.779009000000002</c:v>
                </c:pt>
                <c:pt idx="232">
                  <c:v>69.341335999999998</c:v>
                </c:pt>
                <c:pt idx="233">
                  <c:v>68.817791999999997</c:v>
                </c:pt>
                <c:pt idx="234">
                  <c:v>68.391193000000001</c:v>
                </c:pt>
                <c:pt idx="235">
                  <c:v>68.643275000000003</c:v>
                </c:pt>
                <c:pt idx="236">
                  <c:v>68.720832000000001</c:v>
                </c:pt>
                <c:pt idx="237">
                  <c:v>68.245761000000002</c:v>
                </c:pt>
                <c:pt idx="238">
                  <c:v>68.071242999999996</c:v>
                </c:pt>
                <c:pt idx="239">
                  <c:v>68.119722999999993</c:v>
                </c:pt>
                <c:pt idx="240">
                  <c:v>65.065678000000005</c:v>
                </c:pt>
                <c:pt idx="241">
                  <c:v>64.328827000000004</c:v>
                </c:pt>
                <c:pt idx="242">
                  <c:v>65.880086000000006</c:v>
                </c:pt>
                <c:pt idx="243">
                  <c:v>64.920246000000006</c:v>
                </c:pt>
                <c:pt idx="244">
                  <c:v>64.920246000000006</c:v>
                </c:pt>
                <c:pt idx="245">
                  <c:v>63.533807000000003</c:v>
                </c:pt>
                <c:pt idx="246">
                  <c:v>60.557326000000003</c:v>
                </c:pt>
                <c:pt idx="247">
                  <c:v>61.749856999999999</c:v>
                </c:pt>
                <c:pt idx="248">
                  <c:v>68.827482000000003</c:v>
                </c:pt>
                <c:pt idx="249">
                  <c:v>69.58372</c:v>
                </c:pt>
                <c:pt idx="250">
                  <c:v>70.398135999999994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Data!$E$2</c:f>
              <c:strCache>
                <c:ptCount val="1"/>
                <c:pt idx="0">
                  <c:v>UTEK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Data!$E$3:$E$254</c:f>
              <c:numCache>
                <c:formatCode>* #,##0.00</c:formatCode>
                <c:ptCount val="252"/>
                <c:pt idx="0" formatCode="_-&quot;$&quot;* #,##0.00">
                  <c:v>19.450001</c:v>
                </c:pt>
                <c:pt idx="1">
                  <c:v>18.75</c:v>
                </c:pt>
                <c:pt idx="2">
                  <c:v>18.260000000000002</c:v>
                </c:pt>
                <c:pt idx="3">
                  <c:v>17.950001</c:v>
                </c:pt>
                <c:pt idx="4">
                  <c:v>18.329999999999998</c:v>
                </c:pt>
                <c:pt idx="5">
                  <c:v>18.809999000000001</c:v>
                </c:pt>
                <c:pt idx="6">
                  <c:v>17.91</c:v>
                </c:pt>
                <c:pt idx="7">
                  <c:v>18.09</c:v>
                </c:pt>
                <c:pt idx="8">
                  <c:v>18.350000000000001</c:v>
                </c:pt>
                <c:pt idx="9">
                  <c:v>18.75</c:v>
                </c:pt>
                <c:pt idx="10">
                  <c:v>19.290001</c:v>
                </c:pt>
                <c:pt idx="11">
                  <c:v>19.629999000000002</c:v>
                </c:pt>
                <c:pt idx="12">
                  <c:v>19.84</c:v>
                </c:pt>
                <c:pt idx="13">
                  <c:v>19.420000000000002</c:v>
                </c:pt>
                <c:pt idx="14">
                  <c:v>19.82</c:v>
                </c:pt>
                <c:pt idx="15">
                  <c:v>19.98</c:v>
                </c:pt>
                <c:pt idx="16">
                  <c:v>19.889999</c:v>
                </c:pt>
                <c:pt idx="17">
                  <c:v>20.010000000000002</c:v>
                </c:pt>
                <c:pt idx="18">
                  <c:v>20.299999</c:v>
                </c:pt>
                <c:pt idx="19">
                  <c:v>19.950001</c:v>
                </c:pt>
                <c:pt idx="20">
                  <c:v>19.670000000000002</c:v>
                </c:pt>
                <c:pt idx="21">
                  <c:v>18.889999</c:v>
                </c:pt>
                <c:pt idx="22">
                  <c:v>18.629999000000002</c:v>
                </c:pt>
                <c:pt idx="23">
                  <c:v>18.32</c:v>
                </c:pt>
                <c:pt idx="24">
                  <c:v>17.98</c:v>
                </c:pt>
                <c:pt idx="25">
                  <c:v>17.709999</c:v>
                </c:pt>
                <c:pt idx="26">
                  <c:v>17.629999000000002</c:v>
                </c:pt>
                <c:pt idx="27">
                  <c:v>18.059999000000001</c:v>
                </c:pt>
                <c:pt idx="28">
                  <c:v>18.139999</c:v>
                </c:pt>
                <c:pt idx="29">
                  <c:v>17.309999000000001</c:v>
                </c:pt>
                <c:pt idx="30">
                  <c:v>17.370000999999998</c:v>
                </c:pt>
                <c:pt idx="31">
                  <c:v>17.41</c:v>
                </c:pt>
                <c:pt idx="32">
                  <c:v>17.450001</c:v>
                </c:pt>
                <c:pt idx="33">
                  <c:v>17.010000000000002</c:v>
                </c:pt>
                <c:pt idx="34">
                  <c:v>17.049999</c:v>
                </c:pt>
                <c:pt idx="35">
                  <c:v>16.700001</c:v>
                </c:pt>
                <c:pt idx="36">
                  <c:v>16.610001</c:v>
                </c:pt>
                <c:pt idx="37">
                  <c:v>16.510000000000002</c:v>
                </c:pt>
                <c:pt idx="38">
                  <c:v>16.399999999999999</c:v>
                </c:pt>
                <c:pt idx="39">
                  <c:v>16.299999</c:v>
                </c:pt>
                <c:pt idx="40">
                  <c:v>16.32</c:v>
                </c:pt>
                <c:pt idx="41">
                  <c:v>16.309999000000001</c:v>
                </c:pt>
                <c:pt idx="42">
                  <c:v>15.88</c:v>
                </c:pt>
                <c:pt idx="43">
                  <c:v>15.57</c:v>
                </c:pt>
                <c:pt idx="44">
                  <c:v>15.42</c:v>
                </c:pt>
                <c:pt idx="45">
                  <c:v>15.23</c:v>
                </c:pt>
                <c:pt idx="46">
                  <c:v>15.23</c:v>
                </c:pt>
                <c:pt idx="47">
                  <c:v>15.29</c:v>
                </c:pt>
                <c:pt idx="48">
                  <c:v>15.31</c:v>
                </c:pt>
                <c:pt idx="49">
                  <c:v>15.4</c:v>
                </c:pt>
                <c:pt idx="50">
                  <c:v>15.61</c:v>
                </c:pt>
                <c:pt idx="51">
                  <c:v>16.09</c:v>
                </c:pt>
                <c:pt idx="52">
                  <c:v>15.7</c:v>
                </c:pt>
                <c:pt idx="53">
                  <c:v>15.92</c:v>
                </c:pt>
                <c:pt idx="54">
                  <c:v>16.129999000000002</c:v>
                </c:pt>
                <c:pt idx="55">
                  <c:v>15.69</c:v>
                </c:pt>
                <c:pt idx="56">
                  <c:v>15.63</c:v>
                </c:pt>
                <c:pt idx="57">
                  <c:v>15.54</c:v>
                </c:pt>
                <c:pt idx="58">
                  <c:v>16.139999</c:v>
                </c:pt>
                <c:pt idx="59">
                  <c:v>15.02</c:v>
                </c:pt>
                <c:pt idx="60">
                  <c:v>14.99</c:v>
                </c:pt>
                <c:pt idx="61">
                  <c:v>14.97</c:v>
                </c:pt>
                <c:pt idx="62">
                  <c:v>14.44</c:v>
                </c:pt>
                <c:pt idx="63">
                  <c:v>15.58</c:v>
                </c:pt>
                <c:pt idx="64">
                  <c:v>15.8</c:v>
                </c:pt>
                <c:pt idx="65">
                  <c:v>15.6</c:v>
                </c:pt>
                <c:pt idx="66">
                  <c:v>15.76</c:v>
                </c:pt>
                <c:pt idx="67">
                  <c:v>15.96</c:v>
                </c:pt>
                <c:pt idx="68">
                  <c:v>15.53</c:v>
                </c:pt>
                <c:pt idx="69">
                  <c:v>15.42</c:v>
                </c:pt>
                <c:pt idx="70">
                  <c:v>16.809999000000001</c:v>
                </c:pt>
                <c:pt idx="71">
                  <c:v>16.780000999999999</c:v>
                </c:pt>
                <c:pt idx="72">
                  <c:v>16.700001</c:v>
                </c:pt>
                <c:pt idx="73">
                  <c:v>16.540001</c:v>
                </c:pt>
                <c:pt idx="74">
                  <c:v>16.399999999999999</c:v>
                </c:pt>
                <c:pt idx="75">
                  <c:v>16.379999000000002</c:v>
                </c:pt>
                <c:pt idx="76">
                  <c:v>15.77</c:v>
                </c:pt>
                <c:pt idx="77">
                  <c:v>15.56</c:v>
                </c:pt>
                <c:pt idx="78">
                  <c:v>16.02</c:v>
                </c:pt>
                <c:pt idx="79">
                  <c:v>15.76</c:v>
                </c:pt>
                <c:pt idx="80">
                  <c:v>15.7</c:v>
                </c:pt>
                <c:pt idx="81">
                  <c:v>16.049999</c:v>
                </c:pt>
                <c:pt idx="82">
                  <c:v>15.66</c:v>
                </c:pt>
                <c:pt idx="83">
                  <c:v>16.329999999999998</c:v>
                </c:pt>
                <c:pt idx="84">
                  <c:v>16.649999999999999</c:v>
                </c:pt>
                <c:pt idx="85">
                  <c:v>16.68</c:v>
                </c:pt>
                <c:pt idx="86">
                  <c:v>16.57</c:v>
                </c:pt>
                <c:pt idx="87">
                  <c:v>16.780000999999999</c:v>
                </c:pt>
                <c:pt idx="88">
                  <c:v>16.719999000000001</c:v>
                </c:pt>
                <c:pt idx="89">
                  <c:v>16.549999</c:v>
                </c:pt>
                <c:pt idx="90">
                  <c:v>16.379999000000002</c:v>
                </c:pt>
                <c:pt idx="91">
                  <c:v>16.739999999999998</c:v>
                </c:pt>
                <c:pt idx="92">
                  <c:v>16.649999999999999</c:v>
                </c:pt>
                <c:pt idx="93">
                  <c:v>16.82</c:v>
                </c:pt>
                <c:pt idx="94">
                  <c:v>17.110001</c:v>
                </c:pt>
                <c:pt idx="95">
                  <c:v>16.719999000000001</c:v>
                </c:pt>
                <c:pt idx="96">
                  <c:v>17.030000999999999</c:v>
                </c:pt>
                <c:pt idx="97">
                  <c:v>16.93</c:v>
                </c:pt>
                <c:pt idx="98">
                  <c:v>16.809999000000001</c:v>
                </c:pt>
                <c:pt idx="99">
                  <c:v>17.200001</c:v>
                </c:pt>
                <c:pt idx="100">
                  <c:v>16.920000000000002</c:v>
                </c:pt>
                <c:pt idx="101">
                  <c:v>16.559999000000001</c:v>
                </c:pt>
                <c:pt idx="102">
                  <c:v>16.110001</c:v>
                </c:pt>
                <c:pt idx="103">
                  <c:v>15.38</c:v>
                </c:pt>
                <c:pt idx="104">
                  <c:v>15.55</c:v>
                </c:pt>
                <c:pt idx="105">
                  <c:v>15.65</c:v>
                </c:pt>
                <c:pt idx="106">
                  <c:v>15.27</c:v>
                </c:pt>
                <c:pt idx="107">
                  <c:v>15.67</c:v>
                </c:pt>
                <c:pt idx="108">
                  <c:v>15.87</c:v>
                </c:pt>
                <c:pt idx="109">
                  <c:v>16.68</c:v>
                </c:pt>
                <c:pt idx="110">
                  <c:v>16.649999999999999</c:v>
                </c:pt>
                <c:pt idx="111">
                  <c:v>16.299999</c:v>
                </c:pt>
                <c:pt idx="112">
                  <c:v>16.739999999999998</c:v>
                </c:pt>
                <c:pt idx="113">
                  <c:v>16.610001</c:v>
                </c:pt>
                <c:pt idx="114">
                  <c:v>16.809999000000001</c:v>
                </c:pt>
                <c:pt idx="115">
                  <c:v>16.629999000000002</c:v>
                </c:pt>
                <c:pt idx="116">
                  <c:v>16.540001</c:v>
                </c:pt>
                <c:pt idx="117">
                  <c:v>16.43</c:v>
                </c:pt>
                <c:pt idx="118">
                  <c:v>16.209999</c:v>
                </c:pt>
                <c:pt idx="119">
                  <c:v>15.85</c:v>
                </c:pt>
                <c:pt idx="120">
                  <c:v>15.92</c:v>
                </c:pt>
                <c:pt idx="121">
                  <c:v>15.72</c:v>
                </c:pt>
                <c:pt idx="122">
                  <c:v>15.8</c:v>
                </c:pt>
                <c:pt idx="123">
                  <c:v>15.65</c:v>
                </c:pt>
                <c:pt idx="124">
                  <c:v>15.68</c:v>
                </c:pt>
                <c:pt idx="125">
                  <c:v>15.36</c:v>
                </c:pt>
                <c:pt idx="126">
                  <c:v>16.68</c:v>
                </c:pt>
                <c:pt idx="127">
                  <c:v>16.239999999999998</c:v>
                </c:pt>
                <c:pt idx="128">
                  <c:v>16.940000999999999</c:v>
                </c:pt>
                <c:pt idx="129">
                  <c:v>16.899999999999999</c:v>
                </c:pt>
                <c:pt idx="130">
                  <c:v>16.82</c:v>
                </c:pt>
                <c:pt idx="131">
                  <c:v>17.07</c:v>
                </c:pt>
                <c:pt idx="132">
                  <c:v>18.07</c:v>
                </c:pt>
                <c:pt idx="133">
                  <c:v>18.420000000000002</c:v>
                </c:pt>
                <c:pt idx="134">
                  <c:v>18.5</c:v>
                </c:pt>
                <c:pt idx="135">
                  <c:v>18.079999999999998</c:v>
                </c:pt>
                <c:pt idx="136">
                  <c:v>17.950001</c:v>
                </c:pt>
                <c:pt idx="137">
                  <c:v>18.059999000000001</c:v>
                </c:pt>
                <c:pt idx="138">
                  <c:v>18.350000000000001</c:v>
                </c:pt>
                <c:pt idx="139">
                  <c:v>18.489999999999998</c:v>
                </c:pt>
                <c:pt idx="140">
                  <c:v>18.68</c:v>
                </c:pt>
                <c:pt idx="141">
                  <c:v>18.68</c:v>
                </c:pt>
                <c:pt idx="142">
                  <c:v>18.559999000000001</c:v>
                </c:pt>
                <c:pt idx="143">
                  <c:v>18.600000000000001</c:v>
                </c:pt>
                <c:pt idx="144">
                  <c:v>19.059999000000001</c:v>
                </c:pt>
                <c:pt idx="145">
                  <c:v>19.02</c:v>
                </c:pt>
                <c:pt idx="146">
                  <c:v>18.969999000000001</c:v>
                </c:pt>
                <c:pt idx="147">
                  <c:v>19</c:v>
                </c:pt>
                <c:pt idx="148">
                  <c:v>18.780000999999999</c:v>
                </c:pt>
                <c:pt idx="149">
                  <c:v>18.41</c:v>
                </c:pt>
                <c:pt idx="150">
                  <c:v>19.09</c:v>
                </c:pt>
                <c:pt idx="151">
                  <c:v>19.25</c:v>
                </c:pt>
                <c:pt idx="152">
                  <c:v>19.610001</c:v>
                </c:pt>
                <c:pt idx="153">
                  <c:v>19.5</c:v>
                </c:pt>
                <c:pt idx="154">
                  <c:v>19.950001</c:v>
                </c:pt>
                <c:pt idx="155">
                  <c:v>19.98</c:v>
                </c:pt>
                <c:pt idx="156">
                  <c:v>19.739999999999998</c:v>
                </c:pt>
                <c:pt idx="157">
                  <c:v>19.350000000000001</c:v>
                </c:pt>
                <c:pt idx="158">
                  <c:v>19.530000999999999</c:v>
                </c:pt>
                <c:pt idx="159">
                  <c:v>19.829999999999998</c:v>
                </c:pt>
                <c:pt idx="160">
                  <c:v>20.02</c:v>
                </c:pt>
                <c:pt idx="161">
                  <c:v>20.43</c:v>
                </c:pt>
                <c:pt idx="162">
                  <c:v>19.799999</c:v>
                </c:pt>
                <c:pt idx="163">
                  <c:v>19.799999</c:v>
                </c:pt>
                <c:pt idx="164">
                  <c:v>19.940000999999999</c:v>
                </c:pt>
                <c:pt idx="165">
                  <c:v>20.09</c:v>
                </c:pt>
                <c:pt idx="166">
                  <c:v>20.129999000000002</c:v>
                </c:pt>
                <c:pt idx="167">
                  <c:v>19.73</c:v>
                </c:pt>
                <c:pt idx="168">
                  <c:v>20.079999999999998</c:v>
                </c:pt>
                <c:pt idx="169">
                  <c:v>20.049999</c:v>
                </c:pt>
                <c:pt idx="170">
                  <c:v>20.299999</c:v>
                </c:pt>
                <c:pt idx="171">
                  <c:v>20.440000999999999</c:v>
                </c:pt>
                <c:pt idx="172">
                  <c:v>20.52</c:v>
                </c:pt>
                <c:pt idx="173">
                  <c:v>20.67</c:v>
                </c:pt>
                <c:pt idx="174">
                  <c:v>20.889999</c:v>
                </c:pt>
                <c:pt idx="175">
                  <c:v>20.389999</c:v>
                </c:pt>
                <c:pt idx="176">
                  <c:v>20.350000000000001</c:v>
                </c:pt>
                <c:pt idx="177">
                  <c:v>20.610001</c:v>
                </c:pt>
                <c:pt idx="178">
                  <c:v>20.329999999999998</c:v>
                </c:pt>
                <c:pt idx="179">
                  <c:v>20.190000999999999</c:v>
                </c:pt>
                <c:pt idx="180">
                  <c:v>19.98</c:v>
                </c:pt>
                <c:pt idx="181">
                  <c:v>19.940000999999999</c:v>
                </c:pt>
                <c:pt idx="182">
                  <c:v>20.360001</c:v>
                </c:pt>
                <c:pt idx="183">
                  <c:v>20.389999</c:v>
                </c:pt>
                <c:pt idx="184">
                  <c:v>19.959999</c:v>
                </c:pt>
                <c:pt idx="185">
                  <c:v>20.290001</c:v>
                </c:pt>
                <c:pt idx="186">
                  <c:v>19.540001</c:v>
                </c:pt>
                <c:pt idx="187">
                  <c:v>19.540001</c:v>
                </c:pt>
                <c:pt idx="188">
                  <c:v>19.34</c:v>
                </c:pt>
                <c:pt idx="189">
                  <c:v>19.469999000000001</c:v>
                </c:pt>
                <c:pt idx="190">
                  <c:v>18.200001</c:v>
                </c:pt>
                <c:pt idx="191">
                  <c:v>17.82</c:v>
                </c:pt>
                <c:pt idx="192">
                  <c:v>18</c:v>
                </c:pt>
                <c:pt idx="193">
                  <c:v>17.530000999999999</c:v>
                </c:pt>
                <c:pt idx="194">
                  <c:v>18.049999</c:v>
                </c:pt>
                <c:pt idx="195">
                  <c:v>18.239999999999998</c:v>
                </c:pt>
                <c:pt idx="196">
                  <c:v>18.32</c:v>
                </c:pt>
                <c:pt idx="197">
                  <c:v>18.25</c:v>
                </c:pt>
                <c:pt idx="198">
                  <c:v>17.969999000000001</c:v>
                </c:pt>
                <c:pt idx="199">
                  <c:v>17.809999000000001</c:v>
                </c:pt>
                <c:pt idx="200">
                  <c:v>17.75</c:v>
                </c:pt>
                <c:pt idx="201">
                  <c:v>17.309999000000001</c:v>
                </c:pt>
                <c:pt idx="202">
                  <c:v>17.260000000000002</c:v>
                </c:pt>
                <c:pt idx="203">
                  <c:v>17.139999</c:v>
                </c:pt>
                <c:pt idx="204">
                  <c:v>17.350000000000001</c:v>
                </c:pt>
                <c:pt idx="205">
                  <c:v>17.34</c:v>
                </c:pt>
                <c:pt idx="206">
                  <c:v>17.899999999999999</c:v>
                </c:pt>
                <c:pt idx="207">
                  <c:v>17.629999000000002</c:v>
                </c:pt>
                <c:pt idx="208">
                  <c:v>17.559999000000001</c:v>
                </c:pt>
                <c:pt idx="209">
                  <c:v>17.950001</c:v>
                </c:pt>
                <c:pt idx="210">
                  <c:v>18.889999</c:v>
                </c:pt>
                <c:pt idx="211">
                  <c:v>18.649999999999999</c:v>
                </c:pt>
                <c:pt idx="212">
                  <c:v>18.790001</c:v>
                </c:pt>
                <c:pt idx="213">
                  <c:v>18.620000999999998</c:v>
                </c:pt>
                <c:pt idx="214">
                  <c:v>18.68</c:v>
                </c:pt>
                <c:pt idx="215">
                  <c:v>18.370000999999998</c:v>
                </c:pt>
                <c:pt idx="216">
                  <c:v>18.989999999999998</c:v>
                </c:pt>
                <c:pt idx="217">
                  <c:v>18.34</c:v>
                </c:pt>
                <c:pt idx="218">
                  <c:v>17.73</c:v>
                </c:pt>
                <c:pt idx="219">
                  <c:v>17.459999</c:v>
                </c:pt>
                <c:pt idx="220">
                  <c:v>17.309999000000001</c:v>
                </c:pt>
                <c:pt idx="221">
                  <c:v>17.690000999999999</c:v>
                </c:pt>
                <c:pt idx="222">
                  <c:v>17.899999999999999</c:v>
                </c:pt>
                <c:pt idx="223">
                  <c:v>18.459999</c:v>
                </c:pt>
                <c:pt idx="224">
                  <c:v>18.440000999999999</c:v>
                </c:pt>
                <c:pt idx="225">
                  <c:v>18.299999</c:v>
                </c:pt>
                <c:pt idx="226">
                  <c:v>18.66</c:v>
                </c:pt>
                <c:pt idx="227">
                  <c:v>18.040001</c:v>
                </c:pt>
                <c:pt idx="228">
                  <c:v>17.799999</c:v>
                </c:pt>
                <c:pt idx="229">
                  <c:v>17.82</c:v>
                </c:pt>
                <c:pt idx="230">
                  <c:v>17.209999</c:v>
                </c:pt>
                <c:pt idx="231">
                  <c:v>17.469999000000001</c:v>
                </c:pt>
                <c:pt idx="232">
                  <c:v>17.059999000000001</c:v>
                </c:pt>
                <c:pt idx="233">
                  <c:v>17.139999</c:v>
                </c:pt>
                <c:pt idx="234">
                  <c:v>17.32</c:v>
                </c:pt>
                <c:pt idx="235">
                  <c:v>17.670000000000002</c:v>
                </c:pt>
                <c:pt idx="236">
                  <c:v>17.68</c:v>
                </c:pt>
                <c:pt idx="237">
                  <c:v>17.549999</c:v>
                </c:pt>
                <c:pt idx="238">
                  <c:v>17.690000999999999</c:v>
                </c:pt>
                <c:pt idx="239">
                  <c:v>17.629999000000002</c:v>
                </c:pt>
                <c:pt idx="240">
                  <c:v>17.940000999999999</c:v>
                </c:pt>
                <c:pt idx="241">
                  <c:v>17.700001</c:v>
                </c:pt>
                <c:pt idx="242">
                  <c:v>17.809999000000001</c:v>
                </c:pt>
                <c:pt idx="243">
                  <c:v>16.239999999999998</c:v>
                </c:pt>
                <c:pt idx="244">
                  <c:v>16.360001</c:v>
                </c:pt>
                <c:pt idx="245">
                  <c:v>16</c:v>
                </c:pt>
                <c:pt idx="246">
                  <c:v>15.94</c:v>
                </c:pt>
                <c:pt idx="247">
                  <c:v>16.450001</c:v>
                </c:pt>
                <c:pt idx="248">
                  <c:v>16.649999999999999</c:v>
                </c:pt>
                <c:pt idx="249">
                  <c:v>17.040001</c:v>
                </c:pt>
                <c:pt idx="250">
                  <c:v>16.73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Data!$F$2</c:f>
              <c:strCache>
                <c:ptCount val="1"/>
                <c:pt idx="0">
                  <c:v>SSYS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Data!$F$3:$F$254</c:f>
              <c:numCache>
                <c:formatCode>* #,##0.00</c:formatCode>
                <c:ptCount val="252"/>
                <c:pt idx="0" formatCode="_-&quot;$&quot;* #,##0.00">
                  <c:v>17.850000000000001</c:v>
                </c:pt>
                <c:pt idx="1">
                  <c:v>18.07</c:v>
                </c:pt>
                <c:pt idx="2">
                  <c:v>17.209999</c:v>
                </c:pt>
                <c:pt idx="3">
                  <c:v>17.59</c:v>
                </c:pt>
                <c:pt idx="4">
                  <c:v>18.670000000000002</c:v>
                </c:pt>
                <c:pt idx="5">
                  <c:v>19.120000999999998</c:v>
                </c:pt>
                <c:pt idx="6">
                  <c:v>19.52</c:v>
                </c:pt>
                <c:pt idx="7">
                  <c:v>20.57</c:v>
                </c:pt>
                <c:pt idx="8">
                  <c:v>21</c:v>
                </c:pt>
                <c:pt idx="9">
                  <c:v>21.77</c:v>
                </c:pt>
                <c:pt idx="10">
                  <c:v>22.440000999999999</c:v>
                </c:pt>
                <c:pt idx="11">
                  <c:v>23.610001</c:v>
                </c:pt>
                <c:pt idx="12">
                  <c:v>24.559999000000001</c:v>
                </c:pt>
                <c:pt idx="13">
                  <c:v>24.549999</c:v>
                </c:pt>
                <c:pt idx="14">
                  <c:v>23.48</c:v>
                </c:pt>
                <c:pt idx="15">
                  <c:v>23.98</c:v>
                </c:pt>
                <c:pt idx="16">
                  <c:v>24.809999000000001</c:v>
                </c:pt>
                <c:pt idx="17">
                  <c:v>25.18</c:v>
                </c:pt>
                <c:pt idx="18">
                  <c:v>26.790001</c:v>
                </c:pt>
                <c:pt idx="19">
                  <c:v>26.780000999999999</c:v>
                </c:pt>
                <c:pt idx="20">
                  <c:v>25.52</c:v>
                </c:pt>
                <c:pt idx="21">
                  <c:v>24.99</c:v>
                </c:pt>
                <c:pt idx="22">
                  <c:v>25.82</c:v>
                </c:pt>
                <c:pt idx="23">
                  <c:v>25.85</c:v>
                </c:pt>
                <c:pt idx="24">
                  <c:v>24.879999000000002</c:v>
                </c:pt>
                <c:pt idx="25">
                  <c:v>24.610001</c:v>
                </c:pt>
                <c:pt idx="26">
                  <c:v>23.52</c:v>
                </c:pt>
                <c:pt idx="27">
                  <c:v>24.26</c:v>
                </c:pt>
                <c:pt idx="28">
                  <c:v>25.58</c:v>
                </c:pt>
                <c:pt idx="29">
                  <c:v>24.91</c:v>
                </c:pt>
                <c:pt idx="30">
                  <c:v>24.75</c:v>
                </c:pt>
                <c:pt idx="31">
                  <c:v>24.530000999999999</c:v>
                </c:pt>
                <c:pt idx="32">
                  <c:v>25.09</c:v>
                </c:pt>
                <c:pt idx="33">
                  <c:v>25.120000999999998</c:v>
                </c:pt>
                <c:pt idx="34">
                  <c:v>24.99</c:v>
                </c:pt>
                <c:pt idx="35">
                  <c:v>24.67</c:v>
                </c:pt>
                <c:pt idx="36">
                  <c:v>25</c:v>
                </c:pt>
                <c:pt idx="37">
                  <c:v>24.379999000000002</c:v>
                </c:pt>
                <c:pt idx="38">
                  <c:v>25.18</c:v>
                </c:pt>
                <c:pt idx="39">
                  <c:v>23.75</c:v>
                </c:pt>
                <c:pt idx="40">
                  <c:v>23.780000999999999</c:v>
                </c:pt>
                <c:pt idx="41">
                  <c:v>23.08</c:v>
                </c:pt>
                <c:pt idx="42">
                  <c:v>23.129999000000002</c:v>
                </c:pt>
                <c:pt idx="43">
                  <c:v>23.41</c:v>
                </c:pt>
                <c:pt idx="44">
                  <c:v>22.58</c:v>
                </c:pt>
                <c:pt idx="45">
                  <c:v>22.99</c:v>
                </c:pt>
                <c:pt idx="46">
                  <c:v>22.860001</c:v>
                </c:pt>
                <c:pt idx="47">
                  <c:v>23.370000999999998</c:v>
                </c:pt>
                <c:pt idx="48">
                  <c:v>23.969999000000001</c:v>
                </c:pt>
                <c:pt idx="49">
                  <c:v>25.290001</c:v>
                </c:pt>
                <c:pt idx="50">
                  <c:v>26.73</c:v>
                </c:pt>
                <c:pt idx="51">
                  <c:v>27.59</c:v>
                </c:pt>
                <c:pt idx="52">
                  <c:v>27.33</c:v>
                </c:pt>
                <c:pt idx="53">
                  <c:v>28.67</c:v>
                </c:pt>
                <c:pt idx="54">
                  <c:v>27.219999000000001</c:v>
                </c:pt>
                <c:pt idx="55">
                  <c:v>26.83</c:v>
                </c:pt>
                <c:pt idx="56">
                  <c:v>25.5</c:v>
                </c:pt>
                <c:pt idx="57">
                  <c:v>26.129999000000002</c:v>
                </c:pt>
                <c:pt idx="58">
                  <c:v>26.690000999999999</c:v>
                </c:pt>
                <c:pt idx="59">
                  <c:v>25.639999</c:v>
                </c:pt>
                <c:pt idx="60">
                  <c:v>26.41</c:v>
                </c:pt>
                <c:pt idx="61">
                  <c:v>27.67</c:v>
                </c:pt>
                <c:pt idx="62">
                  <c:v>30.870000999999998</c:v>
                </c:pt>
                <c:pt idx="63">
                  <c:v>29.32</c:v>
                </c:pt>
                <c:pt idx="64">
                  <c:v>30.49</c:v>
                </c:pt>
                <c:pt idx="65">
                  <c:v>29.700001</c:v>
                </c:pt>
                <c:pt idx="66">
                  <c:v>30.940000999999999</c:v>
                </c:pt>
                <c:pt idx="67">
                  <c:v>31</c:v>
                </c:pt>
                <c:pt idx="68">
                  <c:v>30.709999</c:v>
                </c:pt>
                <c:pt idx="69">
                  <c:v>30.99</c:v>
                </c:pt>
                <c:pt idx="70">
                  <c:v>30.82</c:v>
                </c:pt>
                <c:pt idx="71">
                  <c:v>31.9</c:v>
                </c:pt>
                <c:pt idx="72">
                  <c:v>31.889999</c:v>
                </c:pt>
                <c:pt idx="73">
                  <c:v>30.26</c:v>
                </c:pt>
                <c:pt idx="74">
                  <c:v>29.66</c:v>
                </c:pt>
                <c:pt idx="75">
                  <c:v>28.35</c:v>
                </c:pt>
                <c:pt idx="76">
                  <c:v>26.6</c:v>
                </c:pt>
                <c:pt idx="77">
                  <c:v>25.6</c:v>
                </c:pt>
                <c:pt idx="78">
                  <c:v>26.49</c:v>
                </c:pt>
                <c:pt idx="79">
                  <c:v>26.17</c:v>
                </c:pt>
                <c:pt idx="80">
                  <c:v>28.84</c:v>
                </c:pt>
                <c:pt idx="81">
                  <c:v>28.84</c:v>
                </c:pt>
                <c:pt idx="82">
                  <c:v>29.73</c:v>
                </c:pt>
                <c:pt idx="83">
                  <c:v>29.16</c:v>
                </c:pt>
                <c:pt idx="84">
                  <c:v>30.620000999999998</c:v>
                </c:pt>
                <c:pt idx="85">
                  <c:v>28.83</c:v>
                </c:pt>
                <c:pt idx="86">
                  <c:v>28.84</c:v>
                </c:pt>
                <c:pt idx="87">
                  <c:v>29.889999</c:v>
                </c:pt>
                <c:pt idx="88">
                  <c:v>29.719999000000001</c:v>
                </c:pt>
                <c:pt idx="89">
                  <c:v>29.76</c:v>
                </c:pt>
                <c:pt idx="90">
                  <c:v>30.18</c:v>
                </c:pt>
                <c:pt idx="91">
                  <c:v>28.950001</c:v>
                </c:pt>
                <c:pt idx="92">
                  <c:v>28.91</c:v>
                </c:pt>
                <c:pt idx="93">
                  <c:v>28.780000999999999</c:v>
                </c:pt>
                <c:pt idx="94">
                  <c:v>29.57</c:v>
                </c:pt>
                <c:pt idx="95">
                  <c:v>28.389999</c:v>
                </c:pt>
                <c:pt idx="96">
                  <c:v>28.92</c:v>
                </c:pt>
                <c:pt idx="97">
                  <c:v>29.450001</c:v>
                </c:pt>
                <c:pt idx="98">
                  <c:v>28.9</c:v>
                </c:pt>
                <c:pt idx="99">
                  <c:v>30.66</c:v>
                </c:pt>
                <c:pt idx="100">
                  <c:v>30.02</c:v>
                </c:pt>
                <c:pt idx="101">
                  <c:v>29.209999</c:v>
                </c:pt>
                <c:pt idx="102">
                  <c:v>27.66</c:v>
                </c:pt>
                <c:pt idx="103">
                  <c:v>26.84</c:v>
                </c:pt>
                <c:pt idx="104">
                  <c:v>27.889999</c:v>
                </c:pt>
                <c:pt idx="105">
                  <c:v>28.27</c:v>
                </c:pt>
                <c:pt idx="106">
                  <c:v>27.120000999999998</c:v>
                </c:pt>
                <c:pt idx="107">
                  <c:v>28.35</c:v>
                </c:pt>
                <c:pt idx="108">
                  <c:v>29.76</c:v>
                </c:pt>
                <c:pt idx="109">
                  <c:v>30.690000999999999</c:v>
                </c:pt>
                <c:pt idx="110">
                  <c:v>31.41</c:v>
                </c:pt>
                <c:pt idx="111">
                  <c:v>31.299999</c:v>
                </c:pt>
                <c:pt idx="112">
                  <c:v>31.709999</c:v>
                </c:pt>
                <c:pt idx="113">
                  <c:v>31.34</c:v>
                </c:pt>
                <c:pt idx="114">
                  <c:v>32.619999</c:v>
                </c:pt>
                <c:pt idx="115">
                  <c:v>29.75</c:v>
                </c:pt>
                <c:pt idx="116">
                  <c:v>30.610001</c:v>
                </c:pt>
                <c:pt idx="117">
                  <c:v>28</c:v>
                </c:pt>
                <c:pt idx="118">
                  <c:v>28.4</c:v>
                </c:pt>
                <c:pt idx="119">
                  <c:v>28.950001</c:v>
                </c:pt>
                <c:pt idx="120">
                  <c:v>30.73</c:v>
                </c:pt>
                <c:pt idx="121">
                  <c:v>32.669998</c:v>
                </c:pt>
                <c:pt idx="122">
                  <c:v>36.490001999999997</c:v>
                </c:pt>
                <c:pt idx="123">
                  <c:v>37.729999999999997</c:v>
                </c:pt>
                <c:pt idx="124">
                  <c:v>36.110000999999997</c:v>
                </c:pt>
                <c:pt idx="125">
                  <c:v>34.470001000000003</c:v>
                </c:pt>
                <c:pt idx="126">
                  <c:v>33.630001</c:v>
                </c:pt>
                <c:pt idx="127">
                  <c:v>32.869999</c:v>
                </c:pt>
                <c:pt idx="128">
                  <c:v>33.529998999999997</c:v>
                </c:pt>
                <c:pt idx="129">
                  <c:v>31.440000999999999</c:v>
                </c:pt>
                <c:pt idx="130">
                  <c:v>33.590000000000003</c:v>
                </c:pt>
                <c:pt idx="131">
                  <c:v>34.200001</c:v>
                </c:pt>
                <c:pt idx="132">
                  <c:v>33.759998000000003</c:v>
                </c:pt>
                <c:pt idx="133">
                  <c:v>34.630001</c:v>
                </c:pt>
                <c:pt idx="134">
                  <c:v>33.799999</c:v>
                </c:pt>
                <c:pt idx="135">
                  <c:v>33.060001</c:v>
                </c:pt>
                <c:pt idx="136">
                  <c:v>32.07</c:v>
                </c:pt>
                <c:pt idx="137">
                  <c:v>34.029998999999997</c:v>
                </c:pt>
                <c:pt idx="138">
                  <c:v>34.490001999999997</c:v>
                </c:pt>
                <c:pt idx="139">
                  <c:v>34.040000999999997</c:v>
                </c:pt>
                <c:pt idx="140">
                  <c:v>34.560001</c:v>
                </c:pt>
                <c:pt idx="141">
                  <c:v>34.330002</c:v>
                </c:pt>
                <c:pt idx="142">
                  <c:v>34.93</c:v>
                </c:pt>
                <c:pt idx="143">
                  <c:v>35.799999</c:v>
                </c:pt>
                <c:pt idx="144">
                  <c:v>36.659999999999997</c:v>
                </c:pt>
                <c:pt idx="145">
                  <c:v>37.540000999999997</c:v>
                </c:pt>
                <c:pt idx="146">
                  <c:v>37.740001999999997</c:v>
                </c:pt>
                <c:pt idx="147">
                  <c:v>38.93</c:v>
                </c:pt>
                <c:pt idx="148">
                  <c:v>37.979999999999997</c:v>
                </c:pt>
                <c:pt idx="149">
                  <c:v>36.979999999999997</c:v>
                </c:pt>
                <c:pt idx="150">
                  <c:v>37.409999999999997</c:v>
                </c:pt>
                <c:pt idx="151">
                  <c:v>37.009998000000003</c:v>
                </c:pt>
                <c:pt idx="152">
                  <c:v>35.900002000000001</c:v>
                </c:pt>
                <c:pt idx="153">
                  <c:v>35.369999</c:v>
                </c:pt>
                <c:pt idx="154">
                  <c:v>35.330002</c:v>
                </c:pt>
                <c:pt idx="155">
                  <c:v>36.220001000000003</c:v>
                </c:pt>
                <c:pt idx="156">
                  <c:v>37.07</c:v>
                </c:pt>
                <c:pt idx="157">
                  <c:v>37.060001</c:v>
                </c:pt>
                <c:pt idx="158">
                  <c:v>37.060001</c:v>
                </c:pt>
                <c:pt idx="159">
                  <c:v>37.990001999999997</c:v>
                </c:pt>
                <c:pt idx="160">
                  <c:v>35.650002000000001</c:v>
                </c:pt>
                <c:pt idx="161">
                  <c:v>35.82</c:v>
                </c:pt>
                <c:pt idx="162">
                  <c:v>35.369999</c:v>
                </c:pt>
                <c:pt idx="163">
                  <c:v>35.32</c:v>
                </c:pt>
                <c:pt idx="164">
                  <c:v>35.560001</c:v>
                </c:pt>
                <c:pt idx="165">
                  <c:v>36.419998</c:v>
                </c:pt>
                <c:pt idx="166">
                  <c:v>35.830002</c:v>
                </c:pt>
                <c:pt idx="167">
                  <c:v>35.799999</c:v>
                </c:pt>
                <c:pt idx="168">
                  <c:v>36.25</c:v>
                </c:pt>
                <c:pt idx="169">
                  <c:v>37.310001</c:v>
                </c:pt>
                <c:pt idx="170">
                  <c:v>34.970001000000003</c:v>
                </c:pt>
                <c:pt idx="171">
                  <c:v>35.68</c:v>
                </c:pt>
                <c:pt idx="172">
                  <c:v>35.259998000000003</c:v>
                </c:pt>
                <c:pt idx="173">
                  <c:v>34.779998999999997</c:v>
                </c:pt>
                <c:pt idx="174">
                  <c:v>34.659999999999997</c:v>
                </c:pt>
                <c:pt idx="175">
                  <c:v>35.07</c:v>
                </c:pt>
                <c:pt idx="176">
                  <c:v>34.880001</c:v>
                </c:pt>
                <c:pt idx="177">
                  <c:v>35.540000999999997</c:v>
                </c:pt>
                <c:pt idx="178">
                  <c:v>35.330002</c:v>
                </c:pt>
                <c:pt idx="179">
                  <c:v>34.970001000000003</c:v>
                </c:pt>
                <c:pt idx="180">
                  <c:v>36.290000999999997</c:v>
                </c:pt>
                <c:pt idx="181">
                  <c:v>36.950001</c:v>
                </c:pt>
                <c:pt idx="182">
                  <c:v>37.709999000000003</c:v>
                </c:pt>
                <c:pt idx="183">
                  <c:v>36.709999000000003</c:v>
                </c:pt>
                <c:pt idx="184">
                  <c:v>37.450001</c:v>
                </c:pt>
                <c:pt idx="185">
                  <c:v>39.93</c:v>
                </c:pt>
                <c:pt idx="186">
                  <c:v>51.299999</c:v>
                </c:pt>
                <c:pt idx="187">
                  <c:v>49.23</c:v>
                </c:pt>
                <c:pt idx="188">
                  <c:v>51.279998999999997</c:v>
                </c:pt>
                <c:pt idx="189">
                  <c:v>54.57</c:v>
                </c:pt>
                <c:pt idx="190">
                  <c:v>53.599997999999999</c:v>
                </c:pt>
                <c:pt idx="191">
                  <c:v>53.43</c:v>
                </c:pt>
                <c:pt idx="192">
                  <c:v>56.369999</c:v>
                </c:pt>
                <c:pt idx="193">
                  <c:v>55.59</c:v>
                </c:pt>
                <c:pt idx="194">
                  <c:v>58</c:v>
                </c:pt>
                <c:pt idx="195">
                  <c:v>61.43</c:v>
                </c:pt>
                <c:pt idx="196">
                  <c:v>58.060001</c:v>
                </c:pt>
                <c:pt idx="197">
                  <c:v>56.959999000000003</c:v>
                </c:pt>
                <c:pt idx="198">
                  <c:v>57.060001</c:v>
                </c:pt>
                <c:pt idx="199">
                  <c:v>56.779998999999997</c:v>
                </c:pt>
                <c:pt idx="200">
                  <c:v>56.650002000000001</c:v>
                </c:pt>
                <c:pt idx="201">
                  <c:v>54.630001</c:v>
                </c:pt>
                <c:pt idx="202">
                  <c:v>53.380001</c:v>
                </c:pt>
                <c:pt idx="203">
                  <c:v>52.889999000000003</c:v>
                </c:pt>
                <c:pt idx="204">
                  <c:v>53.200001</c:v>
                </c:pt>
                <c:pt idx="205">
                  <c:v>52.779998999999997</c:v>
                </c:pt>
                <c:pt idx="206">
                  <c:v>53.66</c:v>
                </c:pt>
                <c:pt idx="207">
                  <c:v>54.720001000000003</c:v>
                </c:pt>
                <c:pt idx="208">
                  <c:v>57.380001</c:v>
                </c:pt>
                <c:pt idx="209">
                  <c:v>58.240001999999997</c:v>
                </c:pt>
                <c:pt idx="210">
                  <c:v>59.869999</c:v>
                </c:pt>
                <c:pt idx="211">
                  <c:v>59.330002</c:v>
                </c:pt>
                <c:pt idx="212">
                  <c:v>58.889999000000003</c:v>
                </c:pt>
                <c:pt idx="213">
                  <c:v>58.389999000000003</c:v>
                </c:pt>
                <c:pt idx="214">
                  <c:v>59.25</c:v>
                </c:pt>
                <c:pt idx="215">
                  <c:v>57.610000999999997</c:v>
                </c:pt>
                <c:pt idx="216">
                  <c:v>57.950001</c:v>
                </c:pt>
                <c:pt idx="217">
                  <c:v>57.790000999999997</c:v>
                </c:pt>
                <c:pt idx="218">
                  <c:v>59.41</c:v>
                </c:pt>
                <c:pt idx="219">
                  <c:v>61.09</c:v>
                </c:pt>
                <c:pt idx="220">
                  <c:v>60.119999</c:v>
                </c:pt>
                <c:pt idx="221">
                  <c:v>61.41</c:v>
                </c:pt>
                <c:pt idx="222">
                  <c:v>62.34</c:v>
                </c:pt>
                <c:pt idx="223">
                  <c:v>64.309997999999993</c:v>
                </c:pt>
                <c:pt idx="224">
                  <c:v>61.869999</c:v>
                </c:pt>
                <c:pt idx="225">
                  <c:v>61.77</c:v>
                </c:pt>
                <c:pt idx="226">
                  <c:v>62.900002000000001</c:v>
                </c:pt>
                <c:pt idx="227">
                  <c:v>62.060001</c:v>
                </c:pt>
                <c:pt idx="228">
                  <c:v>61.450001</c:v>
                </c:pt>
                <c:pt idx="229">
                  <c:v>61.189999</c:v>
                </c:pt>
                <c:pt idx="230">
                  <c:v>62.32</c:v>
                </c:pt>
                <c:pt idx="231">
                  <c:v>62.599997999999999</c:v>
                </c:pt>
                <c:pt idx="232">
                  <c:v>63.880001</c:v>
                </c:pt>
                <c:pt idx="233">
                  <c:v>62.59</c:v>
                </c:pt>
                <c:pt idx="234">
                  <c:v>61.490001999999997</c:v>
                </c:pt>
                <c:pt idx="235">
                  <c:v>63.540000999999997</c:v>
                </c:pt>
                <c:pt idx="236">
                  <c:v>67.160004000000001</c:v>
                </c:pt>
                <c:pt idx="237">
                  <c:v>67.5</c:v>
                </c:pt>
                <c:pt idx="238">
                  <c:v>65.959998999999996</c:v>
                </c:pt>
                <c:pt idx="239">
                  <c:v>63.880001</c:v>
                </c:pt>
                <c:pt idx="240">
                  <c:v>62.970001000000003</c:v>
                </c:pt>
                <c:pt idx="241">
                  <c:v>61.369999</c:v>
                </c:pt>
                <c:pt idx="242">
                  <c:v>62.34</c:v>
                </c:pt>
                <c:pt idx="243">
                  <c:v>58.380001</c:v>
                </c:pt>
                <c:pt idx="244">
                  <c:v>57.360000999999997</c:v>
                </c:pt>
                <c:pt idx="245">
                  <c:v>80.080001999999993</c:v>
                </c:pt>
                <c:pt idx="246">
                  <c:v>79.489998</c:v>
                </c:pt>
                <c:pt idx="247">
                  <c:v>78.309997999999993</c:v>
                </c:pt>
                <c:pt idx="248">
                  <c:v>79.040001000000004</c:v>
                </c:pt>
                <c:pt idx="249">
                  <c:v>80.169998000000007</c:v>
                </c:pt>
                <c:pt idx="250">
                  <c:v>79.349997999999999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Data!$G$2</c:f>
              <c:strCache>
                <c:ptCount val="1"/>
                <c:pt idx="0">
                  <c:v>SFUN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Data!$G$3:$G$254</c:f>
              <c:numCache>
                <c:formatCode>* #,##0.00</c:formatCode>
                <c:ptCount val="252"/>
                <c:pt idx="0" formatCode="_-&quot;$&quot;* #,##0.00">
                  <c:v>6.03</c:v>
                </c:pt>
                <c:pt idx="1">
                  <c:v>5.8</c:v>
                </c:pt>
                <c:pt idx="2">
                  <c:v>5.97</c:v>
                </c:pt>
                <c:pt idx="3">
                  <c:v>6.01</c:v>
                </c:pt>
                <c:pt idx="4">
                  <c:v>5.65</c:v>
                </c:pt>
                <c:pt idx="5">
                  <c:v>5.92</c:v>
                </c:pt>
                <c:pt idx="6">
                  <c:v>5.78</c:v>
                </c:pt>
                <c:pt idx="7">
                  <c:v>6.19</c:v>
                </c:pt>
                <c:pt idx="8">
                  <c:v>6.31</c:v>
                </c:pt>
                <c:pt idx="9">
                  <c:v>6.46</c:v>
                </c:pt>
                <c:pt idx="10">
                  <c:v>6.37</c:v>
                </c:pt>
                <c:pt idx="11">
                  <c:v>6.57</c:v>
                </c:pt>
                <c:pt idx="12">
                  <c:v>6.94</c:v>
                </c:pt>
                <c:pt idx="13">
                  <c:v>6.76</c:v>
                </c:pt>
                <c:pt idx="14">
                  <c:v>7.39</c:v>
                </c:pt>
                <c:pt idx="15">
                  <c:v>7.15</c:v>
                </c:pt>
                <c:pt idx="16">
                  <c:v>7.52</c:v>
                </c:pt>
                <c:pt idx="17">
                  <c:v>7.4</c:v>
                </c:pt>
                <c:pt idx="18">
                  <c:v>7.47</c:v>
                </c:pt>
                <c:pt idx="19">
                  <c:v>7.38</c:v>
                </c:pt>
                <c:pt idx="20">
                  <c:v>7.26</c:v>
                </c:pt>
                <c:pt idx="21">
                  <c:v>7.31</c:v>
                </c:pt>
                <c:pt idx="22">
                  <c:v>7.19</c:v>
                </c:pt>
                <c:pt idx="23">
                  <c:v>7.07</c:v>
                </c:pt>
                <c:pt idx="24">
                  <c:v>7.2</c:v>
                </c:pt>
                <c:pt idx="25">
                  <c:v>6.91</c:v>
                </c:pt>
                <c:pt idx="26">
                  <c:v>6.74</c:v>
                </c:pt>
                <c:pt idx="27">
                  <c:v>6.72</c:v>
                </c:pt>
                <c:pt idx="28">
                  <c:v>6.9</c:v>
                </c:pt>
                <c:pt idx="29">
                  <c:v>7.14</c:v>
                </c:pt>
                <c:pt idx="30">
                  <c:v>7.08</c:v>
                </c:pt>
                <c:pt idx="31">
                  <c:v>7.01</c:v>
                </c:pt>
                <c:pt idx="32">
                  <c:v>6.8</c:v>
                </c:pt>
                <c:pt idx="33">
                  <c:v>7.05</c:v>
                </c:pt>
                <c:pt idx="34">
                  <c:v>7.24</c:v>
                </c:pt>
                <c:pt idx="35">
                  <c:v>6.83</c:v>
                </c:pt>
                <c:pt idx="36">
                  <c:v>6.7</c:v>
                </c:pt>
                <c:pt idx="37">
                  <c:v>6.73</c:v>
                </c:pt>
                <c:pt idx="38">
                  <c:v>7.02</c:v>
                </c:pt>
                <c:pt idx="39">
                  <c:v>6.95</c:v>
                </c:pt>
                <c:pt idx="40">
                  <c:v>6.86</c:v>
                </c:pt>
                <c:pt idx="41">
                  <c:v>6.69</c:v>
                </c:pt>
                <c:pt idx="42">
                  <c:v>6.59</c:v>
                </c:pt>
                <c:pt idx="43">
                  <c:v>7.11</c:v>
                </c:pt>
                <c:pt idx="44">
                  <c:v>7.45</c:v>
                </c:pt>
                <c:pt idx="45">
                  <c:v>7.62</c:v>
                </c:pt>
                <c:pt idx="46">
                  <c:v>7.57</c:v>
                </c:pt>
                <c:pt idx="47">
                  <c:v>6.98</c:v>
                </c:pt>
                <c:pt idx="48">
                  <c:v>6.78</c:v>
                </c:pt>
                <c:pt idx="49">
                  <c:v>6.64</c:v>
                </c:pt>
                <c:pt idx="50">
                  <c:v>7.09</c:v>
                </c:pt>
                <c:pt idx="51">
                  <c:v>7.36</c:v>
                </c:pt>
                <c:pt idx="52">
                  <c:v>7.33</c:v>
                </c:pt>
                <c:pt idx="53">
                  <c:v>7.6</c:v>
                </c:pt>
                <c:pt idx="54">
                  <c:v>7.43</c:v>
                </c:pt>
                <c:pt idx="55">
                  <c:v>7.34</c:v>
                </c:pt>
                <c:pt idx="56">
                  <c:v>7.07</c:v>
                </c:pt>
                <c:pt idx="57">
                  <c:v>6.82</c:v>
                </c:pt>
                <c:pt idx="58">
                  <c:v>6.94</c:v>
                </c:pt>
                <c:pt idx="59">
                  <c:v>6.82</c:v>
                </c:pt>
                <c:pt idx="60">
                  <c:v>7.08</c:v>
                </c:pt>
                <c:pt idx="61">
                  <c:v>7.1</c:v>
                </c:pt>
                <c:pt idx="62">
                  <c:v>6.99</c:v>
                </c:pt>
                <c:pt idx="63">
                  <c:v>7.02</c:v>
                </c:pt>
                <c:pt idx="64">
                  <c:v>7.07</c:v>
                </c:pt>
                <c:pt idx="65">
                  <c:v>7.27</c:v>
                </c:pt>
                <c:pt idx="66">
                  <c:v>7.06</c:v>
                </c:pt>
                <c:pt idx="67">
                  <c:v>7.09</c:v>
                </c:pt>
                <c:pt idx="68">
                  <c:v>7.05</c:v>
                </c:pt>
                <c:pt idx="69">
                  <c:v>7.14</c:v>
                </c:pt>
                <c:pt idx="70">
                  <c:v>7.33</c:v>
                </c:pt>
                <c:pt idx="71">
                  <c:v>7.24</c:v>
                </c:pt>
                <c:pt idx="72">
                  <c:v>7.14</c:v>
                </c:pt>
                <c:pt idx="73">
                  <c:v>7.18</c:v>
                </c:pt>
                <c:pt idx="74">
                  <c:v>7.19</c:v>
                </c:pt>
                <c:pt idx="75">
                  <c:v>7.17</c:v>
                </c:pt>
                <c:pt idx="76">
                  <c:v>7.24</c:v>
                </c:pt>
                <c:pt idx="77">
                  <c:v>6.6</c:v>
                </c:pt>
                <c:pt idx="78">
                  <c:v>6.6</c:v>
                </c:pt>
                <c:pt idx="79">
                  <c:v>6.22</c:v>
                </c:pt>
                <c:pt idx="80">
                  <c:v>5.84</c:v>
                </c:pt>
                <c:pt idx="81">
                  <c:v>5.61</c:v>
                </c:pt>
                <c:pt idx="82">
                  <c:v>5.6</c:v>
                </c:pt>
                <c:pt idx="83">
                  <c:v>5.44</c:v>
                </c:pt>
                <c:pt idx="84">
                  <c:v>5.62</c:v>
                </c:pt>
                <c:pt idx="85">
                  <c:v>5.96</c:v>
                </c:pt>
                <c:pt idx="86">
                  <c:v>5.85</c:v>
                </c:pt>
                <c:pt idx="87">
                  <c:v>5.87</c:v>
                </c:pt>
                <c:pt idx="88">
                  <c:v>5.84</c:v>
                </c:pt>
                <c:pt idx="89">
                  <c:v>5.54</c:v>
                </c:pt>
                <c:pt idx="90">
                  <c:v>5.46</c:v>
                </c:pt>
                <c:pt idx="91">
                  <c:v>5.67</c:v>
                </c:pt>
                <c:pt idx="92">
                  <c:v>5.6</c:v>
                </c:pt>
                <c:pt idx="93">
                  <c:v>5.57</c:v>
                </c:pt>
                <c:pt idx="94">
                  <c:v>5.65</c:v>
                </c:pt>
                <c:pt idx="95">
                  <c:v>5.44</c:v>
                </c:pt>
                <c:pt idx="96">
                  <c:v>5.65</c:v>
                </c:pt>
                <c:pt idx="97">
                  <c:v>5.87</c:v>
                </c:pt>
                <c:pt idx="98">
                  <c:v>5.47</c:v>
                </c:pt>
                <c:pt idx="99">
                  <c:v>5.46</c:v>
                </c:pt>
                <c:pt idx="100">
                  <c:v>5.8</c:v>
                </c:pt>
                <c:pt idx="101">
                  <c:v>5.78</c:v>
                </c:pt>
                <c:pt idx="102">
                  <c:v>5.43</c:v>
                </c:pt>
                <c:pt idx="103">
                  <c:v>5.82</c:v>
                </c:pt>
                <c:pt idx="104">
                  <c:v>5.56</c:v>
                </c:pt>
                <c:pt idx="105">
                  <c:v>5.53</c:v>
                </c:pt>
                <c:pt idx="106">
                  <c:v>5.76</c:v>
                </c:pt>
                <c:pt idx="107">
                  <c:v>6.25</c:v>
                </c:pt>
                <c:pt idx="108">
                  <c:v>6.6</c:v>
                </c:pt>
                <c:pt idx="109">
                  <c:v>6.75</c:v>
                </c:pt>
                <c:pt idx="110">
                  <c:v>7.14</c:v>
                </c:pt>
                <c:pt idx="111">
                  <c:v>6.99</c:v>
                </c:pt>
                <c:pt idx="112">
                  <c:v>7.05</c:v>
                </c:pt>
                <c:pt idx="113">
                  <c:v>6.9</c:v>
                </c:pt>
                <c:pt idx="114">
                  <c:v>7.45</c:v>
                </c:pt>
                <c:pt idx="115">
                  <c:v>6.99</c:v>
                </c:pt>
                <c:pt idx="116">
                  <c:v>7.41</c:v>
                </c:pt>
                <c:pt idx="117">
                  <c:v>6.93</c:v>
                </c:pt>
                <c:pt idx="118">
                  <c:v>6.83</c:v>
                </c:pt>
                <c:pt idx="119">
                  <c:v>6.43</c:v>
                </c:pt>
                <c:pt idx="120">
                  <c:v>6.67</c:v>
                </c:pt>
                <c:pt idx="121">
                  <c:v>6.65</c:v>
                </c:pt>
                <c:pt idx="122">
                  <c:v>6.79</c:v>
                </c:pt>
                <c:pt idx="123">
                  <c:v>6.76</c:v>
                </c:pt>
                <c:pt idx="124">
                  <c:v>6.76</c:v>
                </c:pt>
                <c:pt idx="125">
                  <c:v>7.17</c:v>
                </c:pt>
                <c:pt idx="126">
                  <c:v>7.44</c:v>
                </c:pt>
                <c:pt idx="127">
                  <c:v>7.46</c:v>
                </c:pt>
                <c:pt idx="128">
                  <c:v>7.66</c:v>
                </c:pt>
                <c:pt idx="129">
                  <c:v>7.5</c:v>
                </c:pt>
                <c:pt idx="130">
                  <c:v>7.53</c:v>
                </c:pt>
                <c:pt idx="131">
                  <c:v>7.53</c:v>
                </c:pt>
                <c:pt idx="132">
                  <c:v>7.33</c:v>
                </c:pt>
                <c:pt idx="133">
                  <c:v>7.67</c:v>
                </c:pt>
                <c:pt idx="134">
                  <c:v>7.77</c:v>
                </c:pt>
                <c:pt idx="135">
                  <c:v>7.51</c:v>
                </c:pt>
                <c:pt idx="136">
                  <c:v>7.55</c:v>
                </c:pt>
                <c:pt idx="137">
                  <c:v>6.94</c:v>
                </c:pt>
                <c:pt idx="138">
                  <c:v>6.9</c:v>
                </c:pt>
                <c:pt idx="139">
                  <c:v>7.13</c:v>
                </c:pt>
                <c:pt idx="140">
                  <c:v>8.32</c:v>
                </c:pt>
                <c:pt idx="141">
                  <c:v>8.42</c:v>
                </c:pt>
                <c:pt idx="142">
                  <c:v>8.41</c:v>
                </c:pt>
                <c:pt idx="143">
                  <c:v>8.1300000000000008</c:v>
                </c:pt>
                <c:pt idx="144">
                  <c:v>8.48</c:v>
                </c:pt>
                <c:pt idx="145">
                  <c:v>9.0500000000000007</c:v>
                </c:pt>
                <c:pt idx="146">
                  <c:v>8.84</c:v>
                </c:pt>
                <c:pt idx="147">
                  <c:v>9.08</c:v>
                </c:pt>
                <c:pt idx="148">
                  <c:v>8.9499999999999993</c:v>
                </c:pt>
                <c:pt idx="149">
                  <c:v>8.8000000000000007</c:v>
                </c:pt>
                <c:pt idx="150">
                  <c:v>9.39</c:v>
                </c:pt>
                <c:pt idx="151">
                  <c:v>9.75</c:v>
                </c:pt>
                <c:pt idx="152">
                  <c:v>8.94</c:v>
                </c:pt>
                <c:pt idx="153">
                  <c:v>9.3000000000000007</c:v>
                </c:pt>
                <c:pt idx="154">
                  <c:v>9.9499999999999993</c:v>
                </c:pt>
                <c:pt idx="155">
                  <c:v>9.15</c:v>
                </c:pt>
                <c:pt idx="156">
                  <c:v>8.82</c:v>
                </c:pt>
                <c:pt idx="157">
                  <c:v>8.57</c:v>
                </c:pt>
                <c:pt idx="158">
                  <c:v>8.3800000000000008</c:v>
                </c:pt>
                <c:pt idx="159">
                  <c:v>8.52</c:v>
                </c:pt>
                <c:pt idx="160">
                  <c:v>8.2100000000000009</c:v>
                </c:pt>
                <c:pt idx="161">
                  <c:v>8.15</c:v>
                </c:pt>
                <c:pt idx="162">
                  <c:v>7.82</c:v>
                </c:pt>
                <c:pt idx="163">
                  <c:v>7.46</c:v>
                </c:pt>
                <c:pt idx="164">
                  <c:v>7.43</c:v>
                </c:pt>
                <c:pt idx="165">
                  <c:v>7.79</c:v>
                </c:pt>
                <c:pt idx="166">
                  <c:v>7.95</c:v>
                </c:pt>
                <c:pt idx="167">
                  <c:v>8.2200000000000006</c:v>
                </c:pt>
                <c:pt idx="168">
                  <c:v>8.0299999999999994</c:v>
                </c:pt>
                <c:pt idx="169">
                  <c:v>7.45</c:v>
                </c:pt>
                <c:pt idx="170">
                  <c:v>7.2</c:v>
                </c:pt>
                <c:pt idx="171">
                  <c:v>7.45</c:v>
                </c:pt>
                <c:pt idx="172">
                  <c:v>7.54</c:v>
                </c:pt>
                <c:pt idx="173">
                  <c:v>7.68</c:v>
                </c:pt>
                <c:pt idx="174">
                  <c:v>7.75</c:v>
                </c:pt>
                <c:pt idx="175">
                  <c:v>7.57</c:v>
                </c:pt>
                <c:pt idx="176">
                  <c:v>7.65</c:v>
                </c:pt>
                <c:pt idx="177">
                  <c:v>8.06</c:v>
                </c:pt>
                <c:pt idx="178">
                  <c:v>7.6</c:v>
                </c:pt>
                <c:pt idx="179">
                  <c:v>7.95</c:v>
                </c:pt>
                <c:pt idx="180">
                  <c:v>7.98</c:v>
                </c:pt>
                <c:pt idx="181">
                  <c:v>8.16</c:v>
                </c:pt>
                <c:pt idx="182">
                  <c:v>8.5</c:v>
                </c:pt>
                <c:pt idx="183">
                  <c:v>8.36</c:v>
                </c:pt>
                <c:pt idx="184">
                  <c:v>8.27</c:v>
                </c:pt>
                <c:pt idx="185">
                  <c:v>7.97</c:v>
                </c:pt>
                <c:pt idx="186">
                  <c:v>7.82</c:v>
                </c:pt>
                <c:pt idx="187">
                  <c:v>7.9</c:v>
                </c:pt>
                <c:pt idx="188">
                  <c:v>8.0399999999999991</c:v>
                </c:pt>
                <c:pt idx="189">
                  <c:v>8.56</c:v>
                </c:pt>
                <c:pt idx="190">
                  <c:v>7.82</c:v>
                </c:pt>
                <c:pt idx="191">
                  <c:v>7.18</c:v>
                </c:pt>
                <c:pt idx="192">
                  <c:v>6.98</c:v>
                </c:pt>
                <c:pt idx="193">
                  <c:v>7</c:v>
                </c:pt>
                <c:pt idx="194">
                  <c:v>7.13</c:v>
                </c:pt>
                <c:pt idx="195">
                  <c:v>7.2</c:v>
                </c:pt>
                <c:pt idx="196">
                  <c:v>7.2</c:v>
                </c:pt>
                <c:pt idx="197">
                  <c:v>7.25</c:v>
                </c:pt>
                <c:pt idx="198">
                  <c:v>7.24</c:v>
                </c:pt>
                <c:pt idx="199">
                  <c:v>7.38</c:v>
                </c:pt>
                <c:pt idx="200">
                  <c:v>7.39</c:v>
                </c:pt>
                <c:pt idx="201">
                  <c:v>6.62</c:v>
                </c:pt>
                <c:pt idx="202">
                  <c:v>6.52</c:v>
                </c:pt>
                <c:pt idx="203">
                  <c:v>6.18</c:v>
                </c:pt>
                <c:pt idx="204">
                  <c:v>6.09</c:v>
                </c:pt>
                <c:pt idx="205">
                  <c:v>6</c:v>
                </c:pt>
                <c:pt idx="206">
                  <c:v>6.35</c:v>
                </c:pt>
                <c:pt idx="207">
                  <c:v>5.96</c:v>
                </c:pt>
                <c:pt idx="208">
                  <c:v>5.88</c:v>
                </c:pt>
                <c:pt idx="209">
                  <c:v>5.94</c:v>
                </c:pt>
                <c:pt idx="210">
                  <c:v>6.07</c:v>
                </c:pt>
                <c:pt idx="211">
                  <c:v>6.11</c:v>
                </c:pt>
                <c:pt idx="212">
                  <c:v>5.68</c:v>
                </c:pt>
                <c:pt idx="213">
                  <c:v>5.67</c:v>
                </c:pt>
                <c:pt idx="214">
                  <c:v>5.5</c:v>
                </c:pt>
                <c:pt idx="215">
                  <c:v>5.41</c:v>
                </c:pt>
                <c:pt idx="216">
                  <c:v>5.35</c:v>
                </c:pt>
                <c:pt idx="217">
                  <c:v>5.41</c:v>
                </c:pt>
                <c:pt idx="218">
                  <c:v>5.64</c:v>
                </c:pt>
                <c:pt idx="219">
                  <c:v>5.83</c:v>
                </c:pt>
                <c:pt idx="220">
                  <c:v>5.69</c:v>
                </c:pt>
                <c:pt idx="221">
                  <c:v>5.8832089999999999</c:v>
                </c:pt>
                <c:pt idx="222">
                  <c:v>5.9315110000000004</c:v>
                </c:pt>
                <c:pt idx="223">
                  <c:v>5.9411709999999998</c:v>
                </c:pt>
                <c:pt idx="224">
                  <c:v>5.8059250000000002</c:v>
                </c:pt>
                <c:pt idx="225">
                  <c:v>5.979813</c:v>
                </c:pt>
                <c:pt idx="226">
                  <c:v>6.2309840000000003</c:v>
                </c:pt>
                <c:pt idx="227">
                  <c:v>6.607742</c:v>
                </c:pt>
                <c:pt idx="228">
                  <c:v>6.907216</c:v>
                </c:pt>
                <c:pt idx="229">
                  <c:v>6.7043460000000001</c:v>
                </c:pt>
                <c:pt idx="230">
                  <c:v>7.0134809999999996</c:v>
                </c:pt>
                <c:pt idx="231">
                  <c:v>6.9265359999999996</c:v>
                </c:pt>
                <c:pt idx="232">
                  <c:v>6.8975549999999997</c:v>
                </c:pt>
                <c:pt idx="233">
                  <c:v>7.119745</c:v>
                </c:pt>
                <c:pt idx="234">
                  <c:v>7.0521219999999998</c:v>
                </c:pt>
                <c:pt idx="235">
                  <c:v>6.8009510000000004</c:v>
                </c:pt>
                <c:pt idx="236">
                  <c:v>6.5111369999999997</c:v>
                </c:pt>
                <c:pt idx="237">
                  <c:v>6.5207980000000001</c:v>
                </c:pt>
                <c:pt idx="238">
                  <c:v>6.4821559999999998</c:v>
                </c:pt>
                <c:pt idx="239">
                  <c:v>6.424194</c:v>
                </c:pt>
                <c:pt idx="240">
                  <c:v>6.6946859999999999</c:v>
                </c:pt>
                <c:pt idx="241">
                  <c:v>6.7816299999999998</c:v>
                </c:pt>
                <c:pt idx="242">
                  <c:v>6.2986079999999998</c:v>
                </c:pt>
                <c:pt idx="243">
                  <c:v>6.3469100000000003</c:v>
                </c:pt>
                <c:pt idx="244">
                  <c:v>6.1633620000000002</c:v>
                </c:pt>
                <c:pt idx="245">
                  <c:v>5.9025299999999996</c:v>
                </c:pt>
                <c:pt idx="246">
                  <c:v>5.9025299999999996</c:v>
                </c:pt>
                <c:pt idx="247">
                  <c:v>6.1923430000000002</c:v>
                </c:pt>
                <c:pt idx="248">
                  <c:v>6.3855519999999997</c:v>
                </c:pt>
                <c:pt idx="249">
                  <c:v>6.6753650000000002</c:v>
                </c:pt>
                <c:pt idx="250">
                  <c:v>6.8106109999999997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Data!$H$2</c:f>
              <c:strCache>
                <c:ptCount val="1"/>
                <c:pt idx="0">
                  <c:v>ATVI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Data!$H$3:$H$254</c:f>
              <c:numCache>
                <c:formatCode>* #,##0.00</c:formatCode>
                <c:ptCount val="252"/>
                <c:pt idx="0" formatCode="_-&quot;$&quot;* #,##0.00">
                  <c:v>35.919998</c:v>
                </c:pt>
                <c:pt idx="1">
                  <c:v>34.560001</c:v>
                </c:pt>
                <c:pt idx="2">
                  <c:v>34.709999000000003</c:v>
                </c:pt>
                <c:pt idx="3">
                  <c:v>35.150002000000001</c:v>
                </c:pt>
                <c:pt idx="4">
                  <c:v>34.909999999999997</c:v>
                </c:pt>
                <c:pt idx="5">
                  <c:v>35.400002000000001</c:v>
                </c:pt>
                <c:pt idx="6">
                  <c:v>34.860000999999997</c:v>
                </c:pt>
                <c:pt idx="7">
                  <c:v>37.119999</c:v>
                </c:pt>
                <c:pt idx="8">
                  <c:v>36.209999000000003</c:v>
                </c:pt>
                <c:pt idx="9">
                  <c:v>35.709999000000003</c:v>
                </c:pt>
                <c:pt idx="10">
                  <c:v>36.270000000000003</c:v>
                </c:pt>
                <c:pt idx="11">
                  <c:v>36.790000999999997</c:v>
                </c:pt>
                <c:pt idx="12">
                  <c:v>37.139999000000003</c:v>
                </c:pt>
                <c:pt idx="13">
                  <c:v>37.619999</c:v>
                </c:pt>
                <c:pt idx="14">
                  <c:v>38.709999000000003</c:v>
                </c:pt>
                <c:pt idx="15">
                  <c:v>39.43</c:v>
                </c:pt>
                <c:pt idx="16">
                  <c:v>39.580002</c:v>
                </c:pt>
                <c:pt idx="17">
                  <c:v>39.029998999999997</c:v>
                </c:pt>
                <c:pt idx="18">
                  <c:v>38.919998</c:v>
                </c:pt>
                <c:pt idx="19">
                  <c:v>38.840000000000003</c:v>
                </c:pt>
                <c:pt idx="20">
                  <c:v>39.209999000000003</c:v>
                </c:pt>
                <c:pt idx="21">
                  <c:v>38.740001999999997</c:v>
                </c:pt>
                <c:pt idx="22">
                  <c:v>38.470001000000003</c:v>
                </c:pt>
                <c:pt idx="23">
                  <c:v>38.869999</c:v>
                </c:pt>
                <c:pt idx="24">
                  <c:v>39.209999000000003</c:v>
                </c:pt>
                <c:pt idx="25">
                  <c:v>38.709999000000003</c:v>
                </c:pt>
                <c:pt idx="26">
                  <c:v>37.959999000000003</c:v>
                </c:pt>
                <c:pt idx="27">
                  <c:v>37.220001000000003</c:v>
                </c:pt>
                <c:pt idx="28">
                  <c:v>38.380001</c:v>
                </c:pt>
                <c:pt idx="29">
                  <c:v>38.590000000000003</c:v>
                </c:pt>
                <c:pt idx="30">
                  <c:v>39.360000999999997</c:v>
                </c:pt>
                <c:pt idx="31">
                  <c:v>38.689999</c:v>
                </c:pt>
                <c:pt idx="32">
                  <c:v>38.889999000000003</c:v>
                </c:pt>
                <c:pt idx="33">
                  <c:v>37.619999</c:v>
                </c:pt>
                <c:pt idx="34">
                  <c:v>38.380001</c:v>
                </c:pt>
                <c:pt idx="35">
                  <c:v>38.57</c:v>
                </c:pt>
                <c:pt idx="36">
                  <c:v>37.659999999999997</c:v>
                </c:pt>
                <c:pt idx="37">
                  <c:v>37.240001999999997</c:v>
                </c:pt>
                <c:pt idx="38">
                  <c:v>37.229999999999997</c:v>
                </c:pt>
                <c:pt idx="39">
                  <c:v>36.840000000000003</c:v>
                </c:pt>
                <c:pt idx="40">
                  <c:v>37.349997999999999</c:v>
                </c:pt>
                <c:pt idx="41">
                  <c:v>37.509998000000003</c:v>
                </c:pt>
                <c:pt idx="42">
                  <c:v>37.009998000000003</c:v>
                </c:pt>
                <c:pt idx="43">
                  <c:v>36.869999</c:v>
                </c:pt>
                <c:pt idx="44">
                  <c:v>36.119999</c:v>
                </c:pt>
                <c:pt idx="45">
                  <c:v>34.950001</c:v>
                </c:pt>
                <c:pt idx="46">
                  <c:v>34.590000000000003</c:v>
                </c:pt>
                <c:pt idx="47">
                  <c:v>35.009998000000003</c:v>
                </c:pt>
                <c:pt idx="48">
                  <c:v>34.57</c:v>
                </c:pt>
                <c:pt idx="49">
                  <c:v>33.860000999999997</c:v>
                </c:pt>
                <c:pt idx="50">
                  <c:v>34.049999</c:v>
                </c:pt>
                <c:pt idx="51">
                  <c:v>35</c:v>
                </c:pt>
                <c:pt idx="52">
                  <c:v>37.360000999999997</c:v>
                </c:pt>
                <c:pt idx="53">
                  <c:v>36.990001999999997</c:v>
                </c:pt>
                <c:pt idx="54">
                  <c:v>35.82</c:v>
                </c:pt>
                <c:pt idx="55">
                  <c:v>34.57</c:v>
                </c:pt>
                <c:pt idx="56">
                  <c:v>34.759998000000003</c:v>
                </c:pt>
                <c:pt idx="57">
                  <c:v>34.990001999999997</c:v>
                </c:pt>
                <c:pt idx="58">
                  <c:v>35.279998999999997</c:v>
                </c:pt>
                <c:pt idx="59">
                  <c:v>34.880001</c:v>
                </c:pt>
                <c:pt idx="60">
                  <c:v>34.880001</c:v>
                </c:pt>
                <c:pt idx="61">
                  <c:v>34.900002000000001</c:v>
                </c:pt>
                <c:pt idx="62">
                  <c:v>34.75</c:v>
                </c:pt>
                <c:pt idx="63">
                  <c:v>33.779998999999997</c:v>
                </c:pt>
                <c:pt idx="64">
                  <c:v>33.82</c:v>
                </c:pt>
                <c:pt idx="65">
                  <c:v>33.75</c:v>
                </c:pt>
                <c:pt idx="66">
                  <c:v>34.169998</c:v>
                </c:pt>
                <c:pt idx="67">
                  <c:v>33.799999</c:v>
                </c:pt>
                <c:pt idx="68">
                  <c:v>33.020000000000003</c:v>
                </c:pt>
                <c:pt idx="69">
                  <c:v>32.880001</c:v>
                </c:pt>
                <c:pt idx="70">
                  <c:v>32.580002</c:v>
                </c:pt>
                <c:pt idx="71">
                  <c:v>32.07</c:v>
                </c:pt>
                <c:pt idx="72">
                  <c:v>31.73</c:v>
                </c:pt>
                <c:pt idx="73">
                  <c:v>31.940000999999999</c:v>
                </c:pt>
                <c:pt idx="74">
                  <c:v>31.91</c:v>
                </c:pt>
                <c:pt idx="75">
                  <c:v>31.969999000000001</c:v>
                </c:pt>
                <c:pt idx="76">
                  <c:v>31.459999</c:v>
                </c:pt>
                <c:pt idx="77">
                  <c:v>30.9</c:v>
                </c:pt>
                <c:pt idx="78">
                  <c:v>30.889999</c:v>
                </c:pt>
                <c:pt idx="79">
                  <c:v>30.66</c:v>
                </c:pt>
                <c:pt idx="80">
                  <c:v>31.309999000000001</c:v>
                </c:pt>
                <c:pt idx="81">
                  <c:v>32.060001</c:v>
                </c:pt>
                <c:pt idx="82">
                  <c:v>31.49</c:v>
                </c:pt>
                <c:pt idx="83">
                  <c:v>31.620000999999998</c:v>
                </c:pt>
                <c:pt idx="84">
                  <c:v>31.41</c:v>
                </c:pt>
                <c:pt idx="85">
                  <c:v>31.52</c:v>
                </c:pt>
                <c:pt idx="86">
                  <c:v>31.1</c:v>
                </c:pt>
                <c:pt idx="87">
                  <c:v>30.969999000000001</c:v>
                </c:pt>
                <c:pt idx="88">
                  <c:v>30.52</c:v>
                </c:pt>
                <c:pt idx="89">
                  <c:v>29.799999</c:v>
                </c:pt>
                <c:pt idx="90">
                  <c:v>29.209999</c:v>
                </c:pt>
                <c:pt idx="91">
                  <c:v>29.15</c:v>
                </c:pt>
                <c:pt idx="92">
                  <c:v>29.059999000000001</c:v>
                </c:pt>
                <c:pt idx="93">
                  <c:v>28.690000999999999</c:v>
                </c:pt>
                <c:pt idx="94">
                  <c:v>28.870000999999998</c:v>
                </c:pt>
                <c:pt idx="95">
                  <c:v>28.1</c:v>
                </c:pt>
                <c:pt idx="96">
                  <c:v>28.6</c:v>
                </c:pt>
                <c:pt idx="97">
                  <c:v>28.370000999999998</c:v>
                </c:pt>
                <c:pt idx="98">
                  <c:v>27.860001</c:v>
                </c:pt>
                <c:pt idx="99">
                  <c:v>28.629999000000002</c:v>
                </c:pt>
                <c:pt idx="100">
                  <c:v>29.219999000000001</c:v>
                </c:pt>
                <c:pt idx="101">
                  <c:v>27.93</c:v>
                </c:pt>
                <c:pt idx="102">
                  <c:v>27.290001</c:v>
                </c:pt>
                <c:pt idx="103">
                  <c:v>26.18</c:v>
                </c:pt>
                <c:pt idx="104">
                  <c:v>26.16</c:v>
                </c:pt>
                <c:pt idx="105">
                  <c:v>27.219999000000001</c:v>
                </c:pt>
                <c:pt idx="106">
                  <c:v>27.98</c:v>
                </c:pt>
                <c:pt idx="107">
                  <c:v>28.98</c:v>
                </c:pt>
                <c:pt idx="108">
                  <c:v>29.219999000000001</c:v>
                </c:pt>
                <c:pt idx="109">
                  <c:v>29.299999</c:v>
                </c:pt>
                <c:pt idx="110">
                  <c:v>28.68</c:v>
                </c:pt>
                <c:pt idx="111">
                  <c:v>28.85</c:v>
                </c:pt>
                <c:pt idx="112">
                  <c:v>28.66</c:v>
                </c:pt>
                <c:pt idx="113">
                  <c:v>28.459999</c:v>
                </c:pt>
                <c:pt idx="114">
                  <c:v>28.809999000000001</c:v>
                </c:pt>
                <c:pt idx="115">
                  <c:v>28.780000999999999</c:v>
                </c:pt>
                <c:pt idx="116">
                  <c:v>28.709999</c:v>
                </c:pt>
                <c:pt idx="117">
                  <c:v>28.709999</c:v>
                </c:pt>
                <c:pt idx="118">
                  <c:v>25.67</c:v>
                </c:pt>
                <c:pt idx="119">
                  <c:v>25.52</c:v>
                </c:pt>
                <c:pt idx="120">
                  <c:v>25.790001</c:v>
                </c:pt>
                <c:pt idx="121">
                  <c:v>26.059999000000001</c:v>
                </c:pt>
                <c:pt idx="122">
                  <c:v>25.98</c:v>
                </c:pt>
                <c:pt idx="123">
                  <c:v>25.709999</c:v>
                </c:pt>
                <c:pt idx="124">
                  <c:v>25.610001</c:v>
                </c:pt>
                <c:pt idx="125">
                  <c:v>26.18</c:v>
                </c:pt>
                <c:pt idx="126">
                  <c:v>25.940000999999999</c:v>
                </c:pt>
                <c:pt idx="127">
                  <c:v>25.950001</c:v>
                </c:pt>
                <c:pt idx="128">
                  <c:v>26.09</c:v>
                </c:pt>
                <c:pt idx="129">
                  <c:v>26.25</c:v>
                </c:pt>
                <c:pt idx="130">
                  <c:v>25.809999000000001</c:v>
                </c:pt>
                <c:pt idx="131">
                  <c:v>25.85</c:v>
                </c:pt>
                <c:pt idx="132">
                  <c:v>25.77</c:v>
                </c:pt>
                <c:pt idx="133">
                  <c:v>26.059999000000001</c:v>
                </c:pt>
                <c:pt idx="134">
                  <c:v>25.889999</c:v>
                </c:pt>
                <c:pt idx="135">
                  <c:v>25.360001</c:v>
                </c:pt>
                <c:pt idx="136">
                  <c:v>25.129999000000002</c:v>
                </c:pt>
                <c:pt idx="137">
                  <c:v>24.799999</c:v>
                </c:pt>
                <c:pt idx="138">
                  <c:v>25.049999</c:v>
                </c:pt>
                <c:pt idx="139">
                  <c:v>24.82</c:v>
                </c:pt>
                <c:pt idx="140">
                  <c:v>24.629999000000002</c:v>
                </c:pt>
                <c:pt idx="141">
                  <c:v>24.73</c:v>
                </c:pt>
                <c:pt idx="142">
                  <c:v>24.209999</c:v>
                </c:pt>
                <c:pt idx="143">
                  <c:v>24.49</c:v>
                </c:pt>
                <c:pt idx="144">
                  <c:v>25.040001</c:v>
                </c:pt>
                <c:pt idx="145">
                  <c:v>25.4</c:v>
                </c:pt>
                <c:pt idx="146">
                  <c:v>25.440000999999999</c:v>
                </c:pt>
                <c:pt idx="147">
                  <c:v>25.42</c:v>
                </c:pt>
                <c:pt idx="148">
                  <c:v>25.23</c:v>
                </c:pt>
                <c:pt idx="149">
                  <c:v>25.01</c:v>
                </c:pt>
                <c:pt idx="150">
                  <c:v>25.139999</c:v>
                </c:pt>
                <c:pt idx="151">
                  <c:v>24.870000999999998</c:v>
                </c:pt>
                <c:pt idx="152">
                  <c:v>24.74</c:v>
                </c:pt>
                <c:pt idx="153">
                  <c:v>24.540001</c:v>
                </c:pt>
                <c:pt idx="154">
                  <c:v>25.4</c:v>
                </c:pt>
                <c:pt idx="155">
                  <c:v>25.299999</c:v>
                </c:pt>
                <c:pt idx="156">
                  <c:v>25.5</c:v>
                </c:pt>
                <c:pt idx="157">
                  <c:v>25.52</c:v>
                </c:pt>
                <c:pt idx="158">
                  <c:v>25.440000999999999</c:v>
                </c:pt>
                <c:pt idx="159">
                  <c:v>25.77</c:v>
                </c:pt>
                <c:pt idx="160">
                  <c:v>25.690000999999999</c:v>
                </c:pt>
                <c:pt idx="161">
                  <c:v>25.959999</c:v>
                </c:pt>
                <c:pt idx="162">
                  <c:v>25.530000999999999</c:v>
                </c:pt>
                <c:pt idx="163">
                  <c:v>25.4</c:v>
                </c:pt>
                <c:pt idx="164">
                  <c:v>25.26</c:v>
                </c:pt>
                <c:pt idx="165">
                  <c:v>25.73</c:v>
                </c:pt>
                <c:pt idx="166">
                  <c:v>25.709999</c:v>
                </c:pt>
                <c:pt idx="167">
                  <c:v>25.41</c:v>
                </c:pt>
                <c:pt idx="168">
                  <c:v>25.49</c:v>
                </c:pt>
                <c:pt idx="169">
                  <c:v>25.620000999999998</c:v>
                </c:pt>
                <c:pt idx="170">
                  <c:v>25.75</c:v>
                </c:pt>
                <c:pt idx="171">
                  <c:v>25.48</c:v>
                </c:pt>
                <c:pt idx="172">
                  <c:v>25.42</c:v>
                </c:pt>
                <c:pt idx="173">
                  <c:v>25.42</c:v>
                </c:pt>
                <c:pt idx="174">
                  <c:v>25.17</c:v>
                </c:pt>
                <c:pt idx="175">
                  <c:v>24.629999000000002</c:v>
                </c:pt>
                <c:pt idx="176">
                  <c:v>24.610001</c:v>
                </c:pt>
                <c:pt idx="177">
                  <c:v>24.639999</c:v>
                </c:pt>
                <c:pt idx="178">
                  <c:v>25.049999</c:v>
                </c:pt>
                <c:pt idx="179">
                  <c:v>24.41</c:v>
                </c:pt>
                <c:pt idx="180">
                  <c:v>23.200001</c:v>
                </c:pt>
                <c:pt idx="181">
                  <c:v>22.709999</c:v>
                </c:pt>
                <c:pt idx="182">
                  <c:v>23.190000999999999</c:v>
                </c:pt>
                <c:pt idx="183">
                  <c:v>23.049999</c:v>
                </c:pt>
                <c:pt idx="184">
                  <c:v>22.82</c:v>
                </c:pt>
                <c:pt idx="185">
                  <c:v>23.190000999999999</c:v>
                </c:pt>
                <c:pt idx="186">
                  <c:v>23.469999000000001</c:v>
                </c:pt>
                <c:pt idx="187">
                  <c:v>23.719999000000001</c:v>
                </c:pt>
                <c:pt idx="188">
                  <c:v>23.940000999999999</c:v>
                </c:pt>
                <c:pt idx="189">
                  <c:v>23.75</c:v>
                </c:pt>
                <c:pt idx="190">
                  <c:v>23.49</c:v>
                </c:pt>
                <c:pt idx="191">
                  <c:v>23.389999</c:v>
                </c:pt>
                <c:pt idx="192">
                  <c:v>23.08</c:v>
                </c:pt>
                <c:pt idx="193">
                  <c:v>22.809999000000001</c:v>
                </c:pt>
                <c:pt idx="194">
                  <c:v>23.190000999999999</c:v>
                </c:pt>
                <c:pt idx="195">
                  <c:v>22.9</c:v>
                </c:pt>
                <c:pt idx="196">
                  <c:v>22.92</c:v>
                </c:pt>
                <c:pt idx="197">
                  <c:v>22.790001</c:v>
                </c:pt>
                <c:pt idx="198">
                  <c:v>22.93</c:v>
                </c:pt>
                <c:pt idx="199">
                  <c:v>23</c:v>
                </c:pt>
                <c:pt idx="200">
                  <c:v>22.959999</c:v>
                </c:pt>
                <c:pt idx="201">
                  <c:v>22.77</c:v>
                </c:pt>
                <c:pt idx="202">
                  <c:v>22.67</c:v>
                </c:pt>
                <c:pt idx="203">
                  <c:v>22.639999</c:v>
                </c:pt>
                <c:pt idx="204">
                  <c:v>22.43</c:v>
                </c:pt>
                <c:pt idx="205">
                  <c:v>22.73</c:v>
                </c:pt>
                <c:pt idx="206">
                  <c:v>23.02</c:v>
                </c:pt>
                <c:pt idx="207">
                  <c:v>22.76</c:v>
                </c:pt>
                <c:pt idx="208">
                  <c:v>22.48</c:v>
                </c:pt>
                <c:pt idx="209">
                  <c:v>22.470001</c:v>
                </c:pt>
                <c:pt idx="210">
                  <c:v>22.945136999999999</c:v>
                </c:pt>
                <c:pt idx="211">
                  <c:v>22.945136999999999</c:v>
                </c:pt>
                <c:pt idx="212">
                  <c:v>23.182704999999999</c:v>
                </c:pt>
                <c:pt idx="213">
                  <c:v>22.915441000000001</c:v>
                </c:pt>
                <c:pt idx="214">
                  <c:v>23.341083999999999</c:v>
                </c:pt>
                <c:pt idx="215">
                  <c:v>22.875847</c:v>
                </c:pt>
                <c:pt idx="216">
                  <c:v>22.945136999999999</c:v>
                </c:pt>
                <c:pt idx="217">
                  <c:v>22.757062000000001</c:v>
                </c:pt>
                <c:pt idx="218">
                  <c:v>22.559090000000001</c:v>
                </c:pt>
                <c:pt idx="219">
                  <c:v>22.578885</c:v>
                </c:pt>
                <c:pt idx="220">
                  <c:v>22.509595000000001</c:v>
                </c:pt>
                <c:pt idx="221">
                  <c:v>23.083718000000001</c:v>
                </c:pt>
                <c:pt idx="222">
                  <c:v>22.836251000000001</c:v>
                </c:pt>
                <c:pt idx="223">
                  <c:v>23.054023999999998</c:v>
                </c:pt>
                <c:pt idx="224">
                  <c:v>22.697669999999999</c:v>
                </c:pt>
                <c:pt idx="225">
                  <c:v>22.865947999999999</c:v>
                </c:pt>
                <c:pt idx="226">
                  <c:v>23.014427999999999</c:v>
                </c:pt>
                <c:pt idx="227">
                  <c:v>23.083718000000001</c:v>
                </c:pt>
                <c:pt idx="228">
                  <c:v>23.113415</c:v>
                </c:pt>
                <c:pt idx="229">
                  <c:v>23.222299</c:v>
                </c:pt>
                <c:pt idx="230">
                  <c:v>23.301490000000001</c:v>
                </c:pt>
                <c:pt idx="231">
                  <c:v>23.133213000000001</c:v>
                </c:pt>
                <c:pt idx="232">
                  <c:v>23.073819</c:v>
                </c:pt>
                <c:pt idx="233">
                  <c:v>23.083718000000001</c:v>
                </c:pt>
                <c:pt idx="234">
                  <c:v>23.172806999999999</c:v>
                </c:pt>
                <c:pt idx="235">
                  <c:v>23.251995999999998</c:v>
                </c:pt>
                <c:pt idx="236">
                  <c:v>22.875847</c:v>
                </c:pt>
                <c:pt idx="237">
                  <c:v>22.707568999999999</c:v>
                </c:pt>
                <c:pt idx="238">
                  <c:v>22.430406000000001</c:v>
                </c:pt>
                <c:pt idx="239">
                  <c:v>22.054257</c:v>
                </c:pt>
                <c:pt idx="240">
                  <c:v>21.816689</c:v>
                </c:pt>
                <c:pt idx="241">
                  <c:v>21.885978999999999</c:v>
                </c:pt>
                <c:pt idx="242">
                  <c:v>21.598917</c:v>
                </c:pt>
                <c:pt idx="243">
                  <c:v>21.301957000000002</c:v>
                </c:pt>
                <c:pt idx="244">
                  <c:v>21.440538</c:v>
                </c:pt>
                <c:pt idx="245">
                  <c:v>20.915907000000001</c:v>
                </c:pt>
                <c:pt idx="246">
                  <c:v>20.688237999999998</c:v>
                </c:pt>
                <c:pt idx="247">
                  <c:v>20.539757999999999</c:v>
                </c:pt>
                <c:pt idx="248">
                  <c:v>20.460569</c:v>
                </c:pt>
                <c:pt idx="249">
                  <c:v>20.262595000000001</c:v>
                </c:pt>
                <c:pt idx="250">
                  <c:v>20.628845999999999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Data!$I$2</c:f>
              <c:strCache>
                <c:ptCount val="1"/>
                <c:pt idx="0">
                  <c:v>MU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Data!$I$3:$I$254</c:f>
              <c:numCache>
                <c:formatCode>* #,##0.00</c:formatCode>
                <c:ptCount val="252"/>
                <c:pt idx="0" formatCode="_-&quot;$&quot;* #,##0.00">
                  <c:v>11.07</c:v>
                </c:pt>
                <c:pt idx="1">
                  <c:v>10.85</c:v>
                </c:pt>
                <c:pt idx="2">
                  <c:v>10.050000000000001</c:v>
                </c:pt>
                <c:pt idx="3">
                  <c:v>10.8</c:v>
                </c:pt>
                <c:pt idx="4">
                  <c:v>11.08</c:v>
                </c:pt>
                <c:pt idx="5">
                  <c:v>12.02</c:v>
                </c:pt>
                <c:pt idx="6">
                  <c:v>12.06</c:v>
                </c:pt>
                <c:pt idx="7">
                  <c:v>12.72</c:v>
                </c:pt>
                <c:pt idx="8">
                  <c:v>12.53</c:v>
                </c:pt>
                <c:pt idx="9">
                  <c:v>13.33</c:v>
                </c:pt>
                <c:pt idx="10">
                  <c:v>13.66</c:v>
                </c:pt>
                <c:pt idx="11">
                  <c:v>14.22</c:v>
                </c:pt>
                <c:pt idx="12">
                  <c:v>14.82</c:v>
                </c:pt>
                <c:pt idx="13">
                  <c:v>14.33</c:v>
                </c:pt>
                <c:pt idx="14">
                  <c:v>14.16</c:v>
                </c:pt>
                <c:pt idx="15">
                  <c:v>14.16</c:v>
                </c:pt>
                <c:pt idx="16">
                  <c:v>14.34</c:v>
                </c:pt>
                <c:pt idx="17">
                  <c:v>14.19</c:v>
                </c:pt>
                <c:pt idx="18">
                  <c:v>14.48</c:v>
                </c:pt>
                <c:pt idx="19">
                  <c:v>14.3</c:v>
                </c:pt>
                <c:pt idx="20">
                  <c:v>14.61</c:v>
                </c:pt>
                <c:pt idx="21">
                  <c:v>14.77</c:v>
                </c:pt>
                <c:pt idx="22">
                  <c:v>14.36</c:v>
                </c:pt>
                <c:pt idx="23">
                  <c:v>14.32</c:v>
                </c:pt>
                <c:pt idx="24">
                  <c:v>14.07</c:v>
                </c:pt>
                <c:pt idx="25">
                  <c:v>14.18</c:v>
                </c:pt>
                <c:pt idx="26">
                  <c:v>13.66</c:v>
                </c:pt>
                <c:pt idx="27">
                  <c:v>14.04</c:v>
                </c:pt>
                <c:pt idx="28">
                  <c:v>14.66</c:v>
                </c:pt>
                <c:pt idx="29">
                  <c:v>14.32</c:v>
                </c:pt>
                <c:pt idx="30">
                  <c:v>14.6</c:v>
                </c:pt>
                <c:pt idx="31">
                  <c:v>14.85</c:v>
                </c:pt>
                <c:pt idx="32">
                  <c:v>15.5</c:v>
                </c:pt>
                <c:pt idx="33">
                  <c:v>15.61</c:v>
                </c:pt>
                <c:pt idx="34">
                  <c:v>15.82</c:v>
                </c:pt>
                <c:pt idx="35">
                  <c:v>16.549999</c:v>
                </c:pt>
                <c:pt idx="36">
                  <c:v>15.93</c:v>
                </c:pt>
                <c:pt idx="37">
                  <c:v>15.56</c:v>
                </c:pt>
                <c:pt idx="38">
                  <c:v>15.58</c:v>
                </c:pt>
                <c:pt idx="39">
                  <c:v>15.63</c:v>
                </c:pt>
                <c:pt idx="40">
                  <c:v>15.32</c:v>
                </c:pt>
                <c:pt idx="41">
                  <c:v>15.43</c:v>
                </c:pt>
                <c:pt idx="42">
                  <c:v>15.87</c:v>
                </c:pt>
                <c:pt idx="43">
                  <c:v>15.61</c:v>
                </c:pt>
                <c:pt idx="44">
                  <c:v>15.28</c:v>
                </c:pt>
                <c:pt idx="45">
                  <c:v>14.89</c:v>
                </c:pt>
                <c:pt idx="46">
                  <c:v>15</c:v>
                </c:pt>
                <c:pt idx="47">
                  <c:v>15.35</c:v>
                </c:pt>
                <c:pt idx="48">
                  <c:v>15.5</c:v>
                </c:pt>
                <c:pt idx="49">
                  <c:v>15.55</c:v>
                </c:pt>
                <c:pt idx="50">
                  <c:v>15.84</c:v>
                </c:pt>
                <c:pt idx="51">
                  <c:v>16.450001</c:v>
                </c:pt>
                <c:pt idx="52">
                  <c:v>16.510000000000002</c:v>
                </c:pt>
                <c:pt idx="53">
                  <c:v>17.440000999999999</c:v>
                </c:pt>
                <c:pt idx="54">
                  <c:v>17.84</c:v>
                </c:pt>
                <c:pt idx="55">
                  <c:v>17.09</c:v>
                </c:pt>
                <c:pt idx="56">
                  <c:v>16.559999000000001</c:v>
                </c:pt>
                <c:pt idx="57">
                  <c:v>16.209999</c:v>
                </c:pt>
                <c:pt idx="58">
                  <c:v>16.920000000000002</c:v>
                </c:pt>
                <c:pt idx="59">
                  <c:v>16.68</c:v>
                </c:pt>
                <c:pt idx="60">
                  <c:v>16.579999999999998</c:v>
                </c:pt>
                <c:pt idx="61">
                  <c:v>17.239999999999998</c:v>
                </c:pt>
                <c:pt idx="62">
                  <c:v>16.719999000000001</c:v>
                </c:pt>
                <c:pt idx="63">
                  <c:v>16.43</c:v>
                </c:pt>
                <c:pt idx="64">
                  <c:v>17.09</c:v>
                </c:pt>
                <c:pt idx="65">
                  <c:v>19.16</c:v>
                </c:pt>
                <c:pt idx="66">
                  <c:v>18.5</c:v>
                </c:pt>
                <c:pt idx="67">
                  <c:v>18.66</c:v>
                </c:pt>
                <c:pt idx="68">
                  <c:v>18.82</c:v>
                </c:pt>
                <c:pt idx="69">
                  <c:v>18.18</c:v>
                </c:pt>
                <c:pt idx="70">
                  <c:v>18.030000999999999</c:v>
                </c:pt>
                <c:pt idx="71">
                  <c:v>18.16</c:v>
                </c:pt>
                <c:pt idx="72">
                  <c:v>18.719999000000001</c:v>
                </c:pt>
                <c:pt idx="73">
                  <c:v>18.620000999999998</c:v>
                </c:pt>
                <c:pt idx="74">
                  <c:v>18.219999000000001</c:v>
                </c:pt>
                <c:pt idx="75">
                  <c:v>17.57</c:v>
                </c:pt>
                <c:pt idx="76">
                  <c:v>15.91</c:v>
                </c:pt>
                <c:pt idx="77">
                  <c:v>14.77</c:v>
                </c:pt>
                <c:pt idx="78">
                  <c:v>14.98</c:v>
                </c:pt>
                <c:pt idx="79">
                  <c:v>14.38</c:v>
                </c:pt>
                <c:pt idx="80">
                  <c:v>14.06</c:v>
                </c:pt>
                <c:pt idx="81">
                  <c:v>14.91</c:v>
                </c:pt>
                <c:pt idx="82">
                  <c:v>15.34</c:v>
                </c:pt>
                <c:pt idx="83">
                  <c:v>14.81</c:v>
                </c:pt>
                <c:pt idx="84">
                  <c:v>15.41</c:v>
                </c:pt>
                <c:pt idx="85">
                  <c:v>15.75</c:v>
                </c:pt>
                <c:pt idx="86">
                  <c:v>15.5</c:v>
                </c:pt>
                <c:pt idx="87">
                  <c:v>16.41</c:v>
                </c:pt>
                <c:pt idx="88">
                  <c:v>16.68</c:v>
                </c:pt>
                <c:pt idx="89">
                  <c:v>16.52</c:v>
                </c:pt>
                <c:pt idx="90">
                  <c:v>16.700001</c:v>
                </c:pt>
                <c:pt idx="91">
                  <c:v>16.799999</c:v>
                </c:pt>
                <c:pt idx="92">
                  <c:v>17.200001</c:v>
                </c:pt>
                <c:pt idx="93">
                  <c:v>16.959999</c:v>
                </c:pt>
                <c:pt idx="94">
                  <c:v>17.530000999999999</c:v>
                </c:pt>
                <c:pt idx="95">
                  <c:v>16.82</c:v>
                </c:pt>
                <c:pt idx="96">
                  <c:v>16.59</c:v>
                </c:pt>
                <c:pt idx="97">
                  <c:v>16.290001</c:v>
                </c:pt>
                <c:pt idx="98">
                  <c:v>15.82</c:v>
                </c:pt>
                <c:pt idx="99">
                  <c:v>16.41</c:v>
                </c:pt>
                <c:pt idx="100">
                  <c:v>15.96</c:v>
                </c:pt>
                <c:pt idx="101">
                  <c:v>15.67</c:v>
                </c:pt>
                <c:pt idx="102">
                  <c:v>14.42</c:v>
                </c:pt>
                <c:pt idx="103">
                  <c:v>14.27</c:v>
                </c:pt>
                <c:pt idx="104">
                  <c:v>14.44</c:v>
                </c:pt>
                <c:pt idx="105">
                  <c:v>14.53</c:v>
                </c:pt>
                <c:pt idx="106">
                  <c:v>14.74</c:v>
                </c:pt>
                <c:pt idx="107">
                  <c:v>15.9</c:v>
                </c:pt>
                <c:pt idx="108">
                  <c:v>16.379999000000002</c:v>
                </c:pt>
                <c:pt idx="109">
                  <c:v>17.219999000000001</c:v>
                </c:pt>
                <c:pt idx="110">
                  <c:v>16.950001</c:v>
                </c:pt>
                <c:pt idx="111">
                  <c:v>17.700001</c:v>
                </c:pt>
                <c:pt idx="112">
                  <c:v>18.190000999999999</c:v>
                </c:pt>
                <c:pt idx="113">
                  <c:v>17.879999000000002</c:v>
                </c:pt>
                <c:pt idx="114">
                  <c:v>18.82</c:v>
                </c:pt>
                <c:pt idx="115">
                  <c:v>18.440000999999999</c:v>
                </c:pt>
                <c:pt idx="116">
                  <c:v>18.719999000000001</c:v>
                </c:pt>
                <c:pt idx="117">
                  <c:v>18.91</c:v>
                </c:pt>
                <c:pt idx="118">
                  <c:v>19.010000000000002</c:v>
                </c:pt>
                <c:pt idx="119">
                  <c:v>19</c:v>
                </c:pt>
                <c:pt idx="120">
                  <c:v>18.510000000000002</c:v>
                </c:pt>
                <c:pt idx="121">
                  <c:v>19.899999999999999</c:v>
                </c:pt>
                <c:pt idx="122">
                  <c:v>19.870000999999998</c:v>
                </c:pt>
                <c:pt idx="123">
                  <c:v>19.75</c:v>
                </c:pt>
                <c:pt idx="124">
                  <c:v>18.120000999999998</c:v>
                </c:pt>
                <c:pt idx="125">
                  <c:v>18.34</c:v>
                </c:pt>
                <c:pt idx="126">
                  <c:v>18.700001</c:v>
                </c:pt>
                <c:pt idx="127">
                  <c:v>18</c:v>
                </c:pt>
                <c:pt idx="128">
                  <c:v>18.879999000000002</c:v>
                </c:pt>
                <c:pt idx="129">
                  <c:v>18.889999</c:v>
                </c:pt>
                <c:pt idx="130">
                  <c:v>20.120000999999998</c:v>
                </c:pt>
                <c:pt idx="131">
                  <c:v>19.610001</c:v>
                </c:pt>
                <c:pt idx="132">
                  <c:v>18.889999</c:v>
                </c:pt>
                <c:pt idx="133">
                  <c:v>19.610001</c:v>
                </c:pt>
                <c:pt idx="134">
                  <c:v>17.610001</c:v>
                </c:pt>
                <c:pt idx="135">
                  <c:v>17.57</c:v>
                </c:pt>
                <c:pt idx="136">
                  <c:v>17.149999999999999</c:v>
                </c:pt>
                <c:pt idx="137">
                  <c:v>17.629999000000002</c:v>
                </c:pt>
                <c:pt idx="138">
                  <c:v>18.200001</c:v>
                </c:pt>
                <c:pt idx="139">
                  <c:v>18.32</c:v>
                </c:pt>
                <c:pt idx="140">
                  <c:v>19.07</c:v>
                </c:pt>
                <c:pt idx="141">
                  <c:v>18.780000999999999</c:v>
                </c:pt>
                <c:pt idx="142">
                  <c:v>18.84</c:v>
                </c:pt>
                <c:pt idx="143">
                  <c:v>18.73</c:v>
                </c:pt>
                <c:pt idx="144">
                  <c:v>19.66</c:v>
                </c:pt>
                <c:pt idx="145">
                  <c:v>24.02</c:v>
                </c:pt>
                <c:pt idx="146">
                  <c:v>24.059999000000001</c:v>
                </c:pt>
                <c:pt idx="147">
                  <c:v>24.49</c:v>
                </c:pt>
                <c:pt idx="148">
                  <c:v>24.629999000000002</c:v>
                </c:pt>
                <c:pt idx="149">
                  <c:v>24.469999000000001</c:v>
                </c:pt>
                <c:pt idx="150">
                  <c:v>24.469999000000001</c:v>
                </c:pt>
                <c:pt idx="151">
                  <c:v>24.48</c:v>
                </c:pt>
                <c:pt idx="152">
                  <c:v>24.24</c:v>
                </c:pt>
                <c:pt idx="153">
                  <c:v>24.24</c:v>
                </c:pt>
                <c:pt idx="154">
                  <c:v>25.129999000000002</c:v>
                </c:pt>
                <c:pt idx="155">
                  <c:v>25.02</c:v>
                </c:pt>
                <c:pt idx="156">
                  <c:v>25.190000999999999</c:v>
                </c:pt>
                <c:pt idx="157">
                  <c:v>25.190000999999999</c:v>
                </c:pt>
                <c:pt idx="158">
                  <c:v>25.92</c:v>
                </c:pt>
                <c:pt idx="159">
                  <c:v>26.59</c:v>
                </c:pt>
                <c:pt idx="160">
                  <c:v>26.99</c:v>
                </c:pt>
                <c:pt idx="161">
                  <c:v>27.08</c:v>
                </c:pt>
                <c:pt idx="162">
                  <c:v>27.790001</c:v>
                </c:pt>
                <c:pt idx="163">
                  <c:v>28.42</c:v>
                </c:pt>
                <c:pt idx="164">
                  <c:v>27.93</c:v>
                </c:pt>
                <c:pt idx="165">
                  <c:v>28.280000999999999</c:v>
                </c:pt>
                <c:pt idx="166">
                  <c:v>28.129999000000002</c:v>
                </c:pt>
                <c:pt idx="167">
                  <c:v>27.32</c:v>
                </c:pt>
                <c:pt idx="168">
                  <c:v>27.33</c:v>
                </c:pt>
                <c:pt idx="169">
                  <c:v>26.9</c:v>
                </c:pt>
                <c:pt idx="170">
                  <c:v>26.59</c:v>
                </c:pt>
                <c:pt idx="171">
                  <c:v>26.309999000000001</c:v>
                </c:pt>
                <c:pt idx="172">
                  <c:v>26.76</c:v>
                </c:pt>
                <c:pt idx="173">
                  <c:v>26.33</c:v>
                </c:pt>
                <c:pt idx="174">
                  <c:v>26.690000999999999</c:v>
                </c:pt>
                <c:pt idx="175">
                  <c:v>27.190000999999999</c:v>
                </c:pt>
                <c:pt idx="176">
                  <c:v>26.870000999999998</c:v>
                </c:pt>
                <c:pt idx="177">
                  <c:v>27.75</c:v>
                </c:pt>
                <c:pt idx="178">
                  <c:v>27.18</c:v>
                </c:pt>
                <c:pt idx="179">
                  <c:v>27.27</c:v>
                </c:pt>
                <c:pt idx="180">
                  <c:v>27.99</c:v>
                </c:pt>
                <c:pt idx="181">
                  <c:v>28.040001</c:v>
                </c:pt>
                <c:pt idx="182">
                  <c:v>28.67</c:v>
                </c:pt>
                <c:pt idx="183">
                  <c:v>28.99</c:v>
                </c:pt>
                <c:pt idx="184">
                  <c:v>28.129999000000002</c:v>
                </c:pt>
                <c:pt idx="185">
                  <c:v>28.870000999999998</c:v>
                </c:pt>
                <c:pt idx="186">
                  <c:v>28.99</c:v>
                </c:pt>
                <c:pt idx="187">
                  <c:v>29.27</c:v>
                </c:pt>
                <c:pt idx="188">
                  <c:v>29.200001</c:v>
                </c:pt>
                <c:pt idx="189">
                  <c:v>29.52</c:v>
                </c:pt>
                <c:pt idx="190">
                  <c:v>29.5</c:v>
                </c:pt>
                <c:pt idx="191">
                  <c:v>28.549999</c:v>
                </c:pt>
                <c:pt idx="192">
                  <c:v>28.26</c:v>
                </c:pt>
                <c:pt idx="193">
                  <c:v>28.02</c:v>
                </c:pt>
                <c:pt idx="194">
                  <c:v>28.01</c:v>
                </c:pt>
                <c:pt idx="195">
                  <c:v>28.17</c:v>
                </c:pt>
                <c:pt idx="196">
                  <c:v>27.719999000000001</c:v>
                </c:pt>
                <c:pt idx="197">
                  <c:v>27.879999000000002</c:v>
                </c:pt>
                <c:pt idx="198">
                  <c:v>28.02</c:v>
                </c:pt>
                <c:pt idx="199">
                  <c:v>27.82</c:v>
                </c:pt>
                <c:pt idx="200">
                  <c:v>27.129999000000002</c:v>
                </c:pt>
                <c:pt idx="201">
                  <c:v>26.870000999999998</c:v>
                </c:pt>
                <c:pt idx="202">
                  <c:v>27.43</c:v>
                </c:pt>
                <c:pt idx="203">
                  <c:v>26.73</c:v>
                </c:pt>
                <c:pt idx="204">
                  <c:v>27.129999000000002</c:v>
                </c:pt>
                <c:pt idx="205">
                  <c:v>27.129999000000002</c:v>
                </c:pt>
                <c:pt idx="206">
                  <c:v>26.68</c:v>
                </c:pt>
                <c:pt idx="207">
                  <c:v>26.68</c:v>
                </c:pt>
                <c:pt idx="208">
                  <c:v>26.66</c:v>
                </c:pt>
                <c:pt idx="209">
                  <c:v>26.57</c:v>
                </c:pt>
                <c:pt idx="210">
                  <c:v>27.959999</c:v>
                </c:pt>
                <c:pt idx="211">
                  <c:v>28.02</c:v>
                </c:pt>
                <c:pt idx="212">
                  <c:v>28.68</c:v>
                </c:pt>
                <c:pt idx="213">
                  <c:v>28.049999</c:v>
                </c:pt>
                <c:pt idx="214">
                  <c:v>28.16</c:v>
                </c:pt>
                <c:pt idx="215">
                  <c:v>27.66</c:v>
                </c:pt>
                <c:pt idx="216">
                  <c:v>28.51</c:v>
                </c:pt>
                <c:pt idx="217">
                  <c:v>28.719999000000001</c:v>
                </c:pt>
                <c:pt idx="218">
                  <c:v>28.02</c:v>
                </c:pt>
                <c:pt idx="219">
                  <c:v>27.879999000000002</c:v>
                </c:pt>
                <c:pt idx="220">
                  <c:v>27.610001</c:v>
                </c:pt>
                <c:pt idx="221">
                  <c:v>28.66</c:v>
                </c:pt>
                <c:pt idx="222">
                  <c:v>28.5</c:v>
                </c:pt>
                <c:pt idx="223">
                  <c:v>29.280000999999999</c:v>
                </c:pt>
                <c:pt idx="224">
                  <c:v>29.27</c:v>
                </c:pt>
                <c:pt idx="225">
                  <c:v>29.66</c:v>
                </c:pt>
                <c:pt idx="226">
                  <c:v>31.24</c:v>
                </c:pt>
                <c:pt idx="227">
                  <c:v>30.67</c:v>
                </c:pt>
                <c:pt idx="228">
                  <c:v>30.620000999999998</c:v>
                </c:pt>
                <c:pt idx="229">
                  <c:v>30.48</c:v>
                </c:pt>
                <c:pt idx="230">
                  <c:v>30.77</c:v>
                </c:pt>
                <c:pt idx="231">
                  <c:v>31.4</c:v>
                </c:pt>
                <c:pt idx="232">
                  <c:v>32.029998999999997</c:v>
                </c:pt>
                <c:pt idx="233">
                  <c:v>31.809999000000001</c:v>
                </c:pt>
                <c:pt idx="234">
                  <c:v>32.169998</c:v>
                </c:pt>
                <c:pt idx="235">
                  <c:v>32.330002</c:v>
                </c:pt>
                <c:pt idx="236">
                  <c:v>31.85</c:v>
                </c:pt>
                <c:pt idx="237">
                  <c:v>31.940000999999999</c:v>
                </c:pt>
                <c:pt idx="238">
                  <c:v>31.02</c:v>
                </c:pt>
                <c:pt idx="239">
                  <c:v>31.09</c:v>
                </c:pt>
                <c:pt idx="240">
                  <c:v>28.35</c:v>
                </c:pt>
                <c:pt idx="241">
                  <c:v>28.91</c:v>
                </c:pt>
                <c:pt idx="242">
                  <c:v>29.49</c:v>
                </c:pt>
                <c:pt idx="243">
                  <c:v>29.030000999999999</c:v>
                </c:pt>
                <c:pt idx="244">
                  <c:v>28.950001</c:v>
                </c:pt>
                <c:pt idx="245">
                  <c:v>28.440000999999999</c:v>
                </c:pt>
                <c:pt idx="246">
                  <c:v>29.27</c:v>
                </c:pt>
                <c:pt idx="247">
                  <c:v>29.709999</c:v>
                </c:pt>
                <c:pt idx="248">
                  <c:v>29.1</c:v>
                </c:pt>
                <c:pt idx="249">
                  <c:v>29.65</c:v>
                </c:pt>
                <c:pt idx="250">
                  <c:v>31.02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Data!$K$2</c:f>
              <c:strCache>
                <c:ptCount val="1"/>
                <c:pt idx="0">
                  <c:v>GPRO</c:v>
                </c:pt>
              </c:strCache>
            </c:strRef>
          </c:tx>
          <c:spPr>
            <a:ln w="22225" cap="rnd">
              <a:solidFill>
                <a:schemeClr val="accent3">
                  <a:lumMod val="60000"/>
                </a:schemeClr>
              </a:solidFill>
            </a:ln>
            <a:effectLst>
              <a:glow rad="139700">
                <a:schemeClr val="accent3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Data!$K$3:$K$254</c:f>
              <c:numCache>
                <c:formatCode>* #,##0.00</c:formatCode>
                <c:ptCount val="252"/>
                <c:pt idx="0" formatCode="_-&quot;$&quot;* #,##0.00">
                  <c:v>10.83</c:v>
                </c:pt>
                <c:pt idx="1">
                  <c:v>10.68</c:v>
                </c:pt>
                <c:pt idx="2">
                  <c:v>11</c:v>
                </c:pt>
                <c:pt idx="3">
                  <c:v>10.57</c:v>
                </c:pt>
                <c:pt idx="4">
                  <c:v>11.46</c:v>
                </c:pt>
                <c:pt idx="5">
                  <c:v>12.48</c:v>
                </c:pt>
                <c:pt idx="6">
                  <c:v>14.61</c:v>
                </c:pt>
                <c:pt idx="7">
                  <c:v>14.6</c:v>
                </c:pt>
                <c:pt idx="8">
                  <c:v>15.26</c:v>
                </c:pt>
                <c:pt idx="9">
                  <c:v>16.190000999999999</c:v>
                </c:pt>
                <c:pt idx="10">
                  <c:v>17</c:v>
                </c:pt>
                <c:pt idx="11">
                  <c:v>18.41</c:v>
                </c:pt>
                <c:pt idx="12">
                  <c:v>18.489999999999998</c:v>
                </c:pt>
                <c:pt idx="13">
                  <c:v>18.690000999999999</c:v>
                </c:pt>
                <c:pt idx="14">
                  <c:v>18.010000000000002</c:v>
                </c:pt>
                <c:pt idx="15">
                  <c:v>18.399999999999999</c:v>
                </c:pt>
                <c:pt idx="16">
                  <c:v>18.280000999999999</c:v>
                </c:pt>
                <c:pt idx="17">
                  <c:v>17.920000000000002</c:v>
                </c:pt>
                <c:pt idx="18">
                  <c:v>18.219999000000001</c:v>
                </c:pt>
                <c:pt idx="19">
                  <c:v>18.27</c:v>
                </c:pt>
                <c:pt idx="20">
                  <c:v>18.34</c:v>
                </c:pt>
                <c:pt idx="21">
                  <c:v>18.100000000000001</c:v>
                </c:pt>
                <c:pt idx="22">
                  <c:v>19.5</c:v>
                </c:pt>
                <c:pt idx="23">
                  <c:v>17.950001</c:v>
                </c:pt>
                <c:pt idx="24">
                  <c:v>18.82</c:v>
                </c:pt>
                <c:pt idx="25">
                  <c:v>17.91</c:v>
                </c:pt>
                <c:pt idx="26">
                  <c:v>17.309999000000001</c:v>
                </c:pt>
                <c:pt idx="27">
                  <c:v>19.149999999999999</c:v>
                </c:pt>
                <c:pt idx="28">
                  <c:v>18.829999999999998</c:v>
                </c:pt>
                <c:pt idx="29">
                  <c:v>16.889999</c:v>
                </c:pt>
                <c:pt idx="30">
                  <c:v>17.579999999999998</c:v>
                </c:pt>
                <c:pt idx="31">
                  <c:v>17.510000000000002</c:v>
                </c:pt>
                <c:pt idx="32">
                  <c:v>18</c:v>
                </c:pt>
                <c:pt idx="33">
                  <c:v>18.93</c:v>
                </c:pt>
                <c:pt idx="34">
                  <c:v>20.09</c:v>
                </c:pt>
                <c:pt idx="35">
                  <c:v>20.129999000000002</c:v>
                </c:pt>
                <c:pt idx="36">
                  <c:v>20.399999999999999</c:v>
                </c:pt>
                <c:pt idx="37">
                  <c:v>20.280000999999999</c:v>
                </c:pt>
                <c:pt idx="38">
                  <c:v>20</c:v>
                </c:pt>
                <c:pt idx="39">
                  <c:v>19.32</c:v>
                </c:pt>
                <c:pt idx="40">
                  <c:v>18.989999999999998</c:v>
                </c:pt>
                <c:pt idx="41">
                  <c:v>20.450001</c:v>
                </c:pt>
                <c:pt idx="42">
                  <c:v>19.93</c:v>
                </c:pt>
                <c:pt idx="43">
                  <c:v>19.809999000000001</c:v>
                </c:pt>
                <c:pt idx="44">
                  <c:v>20.870000999999998</c:v>
                </c:pt>
                <c:pt idx="45">
                  <c:v>21.620000999999998</c:v>
                </c:pt>
                <c:pt idx="46">
                  <c:v>21.16</c:v>
                </c:pt>
                <c:pt idx="47">
                  <c:v>23.15</c:v>
                </c:pt>
                <c:pt idx="48">
                  <c:v>25.1</c:v>
                </c:pt>
                <c:pt idx="49">
                  <c:v>25.02</c:v>
                </c:pt>
                <c:pt idx="50">
                  <c:v>25.92</c:v>
                </c:pt>
                <c:pt idx="51">
                  <c:v>25.129999000000002</c:v>
                </c:pt>
                <c:pt idx="52">
                  <c:v>24.809999000000001</c:v>
                </c:pt>
                <c:pt idx="53">
                  <c:v>25.379999000000002</c:v>
                </c:pt>
                <c:pt idx="54">
                  <c:v>25.02</c:v>
                </c:pt>
                <c:pt idx="55">
                  <c:v>25.549999</c:v>
                </c:pt>
                <c:pt idx="56">
                  <c:v>25</c:v>
                </c:pt>
                <c:pt idx="57">
                  <c:v>25.620000999999998</c:v>
                </c:pt>
                <c:pt idx="58">
                  <c:v>30.209999</c:v>
                </c:pt>
                <c:pt idx="59">
                  <c:v>28.23</c:v>
                </c:pt>
                <c:pt idx="60">
                  <c:v>28.790001</c:v>
                </c:pt>
                <c:pt idx="61">
                  <c:v>29.15</c:v>
                </c:pt>
                <c:pt idx="62">
                  <c:v>28.719999000000001</c:v>
                </c:pt>
                <c:pt idx="63">
                  <c:v>29.059999000000001</c:v>
                </c:pt>
                <c:pt idx="64">
                  <c:v>30.309999000000001</c:v>
                </c:pt>
                <c:pt idx="65">
                  <c:v>29.639999</c:v>
                </c:pt>
                <c:pt idx="66">
                  <c:v>28.52</c:v>
                </c:pt>
                <c:pt idx="67">
                  <c:v>28.540001</c:v>
                </c:pt>
                <c:pt idx="68">
                  <c:v>28.09</c:v>
                </c:pt>
                <c:pt idx="69">
                  <c:v>27.969999000000001</c:v>
                </c:pt>
                <c:pt idx="70">
                  <c:v>28.459999</c:v>
                </c:pt>
                <c:pt idx="71">
                  <c:v>29.08</c:v>
                </c:pt>
                <c:pt idx="72">
                  <c:v>27.6</c:v>
                </c:pt>
                <c:pt idx="73">
                  <c:v>29.33</c:v>
                </c:pt>
                <c:pt idx="74">
                  <c:v>30.65</c:v>
                </c:pt>
                <c:pt idx="75">
                  <c:v>30.26</c:v>
                </c:pt>
                <c:pt idx="76">
                  <c:v>30.440000999999999</c:v>
                </c:pt>
                <c:pt idx="77">
                  <c:v>30.07</c:v>
                </c:pt>
                <c:pt idx="78">
                  <c:v>31.219999000000001</c:v>
                </c:pt>
                <c:pt idx="79">
                  <c:v>29.860001</c:v>
                </c:pt>
                <c:pt idx="80">
                  <c:v>29.67</c:v>
                </c:pt>
                <c:pt idx="81">
                  <c:v>32.310001</c:v>
                </c:pt>
                <c:pt idx="82">
                  <c:v>33.919998</c:v>
                </c:pt>
                <c:pt idx="83">
                  <c:v>32.639999000000003</c:v>
                </c:pt>
                <c:pt idx="84">
                  <c:v>33.310001</c:v>
                </c:pt>
                <c:pt idx="85">
                  <c:v>32.270000000000003</c:v>
                </c:pt>
                <c:pt idx="86">
                  <c:v>35.150002000000001</c:v>
                </c:pt>
                <c:pt idx="87">
                  <c:v>36.32</c:v>
                </c:pt>
                <c:pt idx="88">
                  <c:v>35.729999999999997</c:v>
                </c:pt>
                <c:pt idx="89">
                  <c:v>33.57</c:v>
                </c:pt>
                <c:pt idx="90">
                  <c:v>32.880001</c:v>
                </c:pt>
                <c:pt idx="91">
                  <c:v>32.419998</c:v>
                </c:pt>
                <c:pt idx="92">
                  <c:v>33.880001</c:v>
                </c:pt>
                <c:pt idx="93">
                  <c:v>33.650002000000001</c:v>
                </c:pt>
                <c:pt idx="94">
                  <c:v>37.5</c:v>
                </c:pt>
                <c:pt idx="95">
                  <c:v>36.830002</c:v>
                </c:pt>
                <c:pt idx="96">
                  <c:v>38.650002000000001</c:v>
                </c:pt>
                <c:pt idx="97">
                  <c:v>41.279998999999997</c:v>
                </c:pt>
                <c:pt idx="98">
                  <c:v>43.689999</c:v>
                </c:pt>
                <c:pt idx="99">
                  <c:v>46.59</c:v>
                </c:pt>
                <c:pt idx="100">
                  <c:v>48.18</c:v>
                </c:pt>
                <c:pt idx="101">
                  <c:v>47.759998000000003</c:v>
                </c:pt>
                <c:pt idx="102">
                  <c:v>46.279998999999997</c:v>
                </c:pt>
                <c:pt idx="103">
                  <c:v>47.029998999999997</c:v>
                </c:pt>
                <c:pt idx="104">
                  <c:v>47.860000999999997</c:v>
                </c:pt>
                <c:pt idx="105">
                  <c:v>48.389999000000003</c:v>
                </c:pt>
                <c:pt idx="106">
                  <c:v>50.599997999999999</c:v>
                </c:pt>
                <c:pt idx="107">
                  <c:v>54.669998</c:v>
                </c:pt>
                <c:pt idx="108">
                  <c:v>57.490001999999997</c:v>
                </c:pt>
                <c:pt idx="109">
                  <c:v>58.549999</c:v>
                </c:pt>
                <c:pt idx="110">
                  <c:v>58.849997999999999</c:v>
                </c:pt>
                <c:pt idx="111">
                  <c:v>59.5</c:v>
                </c:pt>
                <c:pt idx="112">
                  <c:v>56.91</c:v>
                </c:pt>
                <c:pt idx="113">
                  <c:v>59.130001</c:v>
                </c:pt>
                <c:pt idx="114">
                  <c:v>64.739998</c:v>
                </c:pt>
                <c:pt idx="115">
                  <c:v>63.060001</c:v>
                </c:pt>
                <c:pt idx="116">
                  <c:v>62.880001</c:v>
                </c:pt>
                <c:pt idx="117">
                  <c:v>62.669998</c:v>
                </c:pt>
                <c:pt idx="118">
                  <c:v>62.080002</c:v>
                </c:pt>
                <c:pt idx="119">
                  <c:v>62.259998000000003</c:v>
                </c:pt>
                <c:pt idx="120">
                  <c:v>62.099997999999999</c:v>
                </c:pt>
                <c:pt idx="121">
                  <c:v>61.689999</c:v>
                </c:pt>
                <c:pt idx="122">
                  <c:v>61.869999</c:v>
                </c:pt>
                <c:pt idx="123">
                  <c:v>62.419998</c:v>
                </c:pt>
                <c:pt idx="124">
                  <c:v>61.27</c:v>
                </c:pt>
                <c:pt idx="125">
                  <c:v>62.169998</c:v>
                </c:pt>
                <c:pt idx="126">
                  <c:v>63.950001</c:v>
                </c:pt>
                <c:pt idx="127">
                  <c:v>61.68</c:v>
                </c:pt>
                <c:pt idx="128">
                  <c:v>62.040000999999997</c:v>
                </c:pt>
                <c:pt idx="129">
                  <c:v>60.799999</c:v>
                </c:pt>
                <c:pt idx="130">
                  <c:v>56.639999000000003</c:v>
                </c:pt>
                <c:pt idx="131">
                  <c:v>55.240001999999997</c:v>
                </c:pt>
                <c:pt idx="132">
                  <c:v>54.5</c:v>
                </c:pt>
                <c:pt idx="133">
                  <c:v>54.970001000000003</c:v>
                </c:pt>
                <c:pt idx="134">
                  <c:v>52.110000999999997</c:v>
                </c:pt>
                <c:pt idx="135">
                  <c:v>52.509998000000003</c:v>
                </c:pt>
                <c:pt idx="136">
                  <c:v>52.040000999999997</c:v>
                </c:pt>
                <c:pt idx="137">
                  <c:v>51.25</c:v>
                </c:pt>
                <c:pt idx="138">
                  <c:v>52.25</c:v>
                </c:pt>
                <c:pt idx="139">
                  <c:v>50.939999</c:v>
                </c:pt>
                <c:pt idx="140">
                  <c:v>51.75</c:v>
                </c:pt>
                <c:pt idx="141">
                  <c:v>51.950001</c:v>
                </c:pt>
                <c:pt idx="142">
                  <c:v>52.720001000000003</c:v>
                </c:pt>
                <c:pt idx="143">
                  <c:v>53.209999000000003</c:v>
                </c:pt>
                <c:pt idx="144">
                  <c:v>54.130001</c:v>
                </c:pt>
                <c:pt idx="145">
                  <c:v>56.91</c:v>
                </c:pt>
                <c:pt idx="146">
                  <c:v>57.049999</c:v>
                </c:pt>
                <c:pt idx="147">
                  <c:v>56.759998000000003</c:v>
                </c:pt>
                <c:pt idx="148">
                  <c:v>54.919998</c:v>
                </c:pt>
                <c:pt idx="149">
                  <c:v>57.970001000000003</c:v>
                </c:pt>
                <c:pt idx="150">
                  <c:v>58.279998999999997</c:v>
                </c:pt>
                <c:pt idx="151">
                  <c:v>59</c:v>
                </c:pt>
                <c:pt idx="152">
                  <c:v>58.189999</c:v>
                </c:pt>
                <c:pt idx="153">
                  <c:v>58.52</c:v>
                </c:pt>
                <c:pt idx="154">
                  <c:v>57.450001</c:v>
                </c:pt>
                <c:pt idx="155">
                  <c:v>55.990001999999997</c:v>
                </c:pt>
                <c:pt idx="156">
                  <c:v>57.91</c:v>
                </c:pt>
                <c:pt idx="157">
                  <c:v>58.68</c:v>
                </c:pt>
                <c:pt idx="158">
                  <c:v>59.400002000000001</c:v>
                </c:pt>
                <c:pt idx="159">
                  <c:v>59.41</c:v>
                </c:pt>
                <c:pt idx="160">
                  <c:v>58.880001</c:v>
                </c:pt>
                <c:pt idx="161">
                  <c:v>59.029998999999997</c:v>
                </c:pt>
                <c:pt idx="162">
                  <c:v>58.400002000000001</c:v>
                </c:pt>
                <c:pt idx="163">
                  <c:v>58.52</c:v>
                </c:pt>
                <c:pt idx="164">
                  <c:v>55.459999000000003</c:v>
                </c:pt>
                <c:pt idx="165">
                  <c:v>56.810001</c:v>
                </c:pt>
                <c:pt idx="166">
                  <c:v>53.279998999999997</c:v>
                </c:pt>
                <c:pt idx="167">
                  <c:v>53.41</c:v>
                </c:pt>
                <c:pt idx="168">
                  <c:v>54.439999</c:v>
                </c:pt>
                <c:pt idx="169">
                  <c:v>53.5</c:v>
                </c:pt>
                <c:pt idx="170">
                  <c:v>53.880001</c:v>
                </c:pt>
                <c:pt idx="171">
                  <c:v>51.849997999999999</c:v>
                </c:pt>
                <c:pt idx="172">
                  <c:v>51.130001</c:v>
                </c:pt>
                <c:pt idx="173">
                  <c:v>50.09</c:v>
                </c:pt>
                <c:pt idx="174">
                  <c:v>50.619999</c:v>
                </c:pt>
                <c:pt idx="175">
                  <c:v>49.849997999999999</c:v>
                </c:pt>
                <c:pt idx="176">
                  <c:v>49.57</c:v>
                </c:pt>
                <c:pt idx="177">
                  <c:v>48.849997999999999</c:v>
                </c:pt>
                <c:pt idx="178">
                  <c:v>50.209999000000003</c:v>
                </c:pt>
                <c:pt idx="179">
                  <c:v>49.549999</c:v>
                </c:pt>
                <c:pt idx="180">
                  <c:v>48.189999</c:v>
                </c:pt>
                <c:pt idx="181">
                  <c:v>47.740001999999997</c:v>
                </c:pt>
                <c:pt idx="182">
                  <c:v>49.740001999999997</c:v>
                </c:pt>
                <c:pt idx="183">
                  <c:v>49.98</c:v>
                </c:pt>
                <c:pt idx="184">
                  <c:v>50.080002</c:v>
                </c:pt>
                <c:pt idx="185">
                  <c:v>52.959999000000003</c:v>
                </c:pt>
                <c:pt idx="186">
                  <c:v>47.02</c:v>
                </c:pt>
                <c:pt idx="187">
                  <c:v>45.189999</c:v>
                </c:pt>
                <c:pt idx="188">
                  <c:v>44.73</c:v>
                </c:pt>
                <c:pt idx="189">
                  <c:v>46.080002</c:v>
                </c:pt>
                <c:pt idx="190">
                  <c:v>46.25</c:v>
                </c:pt>
                <c:pt idx="191">
                  <c:v>44.310001</c:v>
                </c:pt>
                <c:pt idx="192">
                  <c:v>44.880001</c:v>
                </c:pt>
                <c:pt idx="193">
                  <c:v>44.619999</c:v>
                </c:pt>
                <c:pt idx="194">
                  <c:v>45.459999000000003</c:v>
                </c:pt>
                <c:pt idx="195">
                  <c:v>45.669998</c:v>
                </c:pt>
                <c:pt idx="196">
                  <c:v>44.48</c:v>
                </c:pt>
                <c:pt idx="197">
                  <c:v>44.220001000000003</c:v>
                </c:pt>
                <c:pt idx="198">
                  <c:v>45.25</c:v>
                </c:pt>
                <c:pt idx="199">
                  <c:v>43.700001</c:v>
                </c:pt>
                <c:pt idx="200">
                  <c:v>43.330002</c:v>
                </c:pt>
                <c:pt idx="201">
                  <c:v>43.57</c:v>
                </c:pt>
                <c:pt idx="202">
                  <c:v>43.549999</c:v>
                </c:pt>
                <c:pt idx="203">
                  <c:v>41.959999000000003</c:v>
                </c:pt>
                <c:pt idx="204">
                  <c:v>40.889999000000003</c:v>
                </c:pt>
                <c:pt idx="205">
                  <c:v>43.41</c:v>
                </c:pt>
                <c:pt idx="206">
                  <c:v>43.580002</c:v>
                </c:pt>
                <c:pt idx="207">
                  <c:v>42.700001</c:v>
                </c:pt>
                <c:pt idx="208">
                  <c:v>43.23</c:v>
                </c:pt>
                <c:pt idx="209">
                  <c:v>42.299999</c:v>
                </c:pt>
                <c:pt idx="210">
                  <c:v>41.830002</c:v>
                </c:pt>
                <c:pt idx="211">
                  <c:v>42.080002</c:v>
                </c:pt>
                <c:pt idx="212">
                  <c:v>40.400002000000001</c:v>
                </c:pt>
                <c:pt idx="213">
                  <c:v>39.529998999999997</c:v>
                </c:pt>
                <c:pt idx="214">
                  <c:v>40.669998</c:v>
                </c:pt>
                <c:pt idx="215">
                  <c:v>40.25</c:v>
                </c:pt>
                <c:pt idx="216">
                  <c:v>39.369999</c:v>
                </c:pt>
                <c:pt idx="217">
                  <c:v>40.130001</c:v>
                </c:pt>
                <c:pt idx="218">
                  <c:v>39.700001</c:v>
                </c:pt>
                <c:pt idx="219">
                  <c:v>38.169998</c:v>
                </c:pt>
                <c:pt idx="220">
                  <c:v>38.729999999999997</c:v>
                </c:pt>
                <c:pt idx="221">
                  <c:v>37.950001</c:v>
                </c:pt>
                <c:pt idx="222">
                  <c:v>40.130001</c:v>
                </c:pt>
                <c:pt idx="223">
                  <c:v>41.080002</c:v>
                </c:pt>
                <c:pt idx="224">
                  <c:v>43.009998000000003</c:v>
                </c:pt>
                <c:pt idx="225">
                  <c:v>40.299999</c:v>
                </c:pt>
                <c:pt idx="226">
                  <c:v>39.93</c:v>
                </c:pt>
                <c:pt idx="227">
                  <c:v>41.98</c:v>
                </c:pt>
                <c:pt idx="228">
                  <c:v>44.66</c:v>
                </c:pt>
                <c:pt idx="229">
                  <c:v>45.049999</c:v>
                </c:pt>
                <c:pt idx="230">
                  <c:v>43.880001</c:v>
                </c:pt>
                <c:pt idx="231">
                  <c:v>43.950001</c:v>
                </c:pt>
                <c:pt idx="232">
                  <c:v>45.07</c:v>
                </c:pt>
                <c:pt idx="233">
                  <c:v>45.16</c:v>
                </c:pt>
                <c:pt idx="234">
                  <c:v>45.209999000000003</c:v>
                </c:pt>
                <c:pt idx="235">
                  <c:v>50.919998</c:v>
                </c:pt>
                <c:pt idx="236">
                  <c:v>45.27</c:v>
                </c:pt>
                <c:pt idx="237">
                  <c:v>45.290000999999997</c:v>
                </c:pt>
                <c:pt idx="238">
                  <c:v>44.77</c:v>
                </c:pt>
                <c:pt idx="239">
                  <c:v>43.799999</c:v>
                </c:pt>
                <c:pt idx="240">
                  <c:v>44.48</c:v>
                </c:pt>
                <c:pt idx="241">
                  <c:v>47.119999</c:v>
                </c:pt>
                <c:pt idx="242">
                  <c:v>54.369999</c:v>
                </c:pt>
                <c:pt idx="243">
                  <c:v>51.869999</c:v>
                </c:pt>
                <c:pt idx="244">
                  <c:v>54.57</c:v>
                </c:pt>
                <c:pt idx="245">
                  <c:v>52.139999000000003</c:v>
                </c:pt>
                <c:pt idx="246">
                  <c:v>49.75</c:v>
                </c:pt>
                <c:pt idx="247">
                  <c:v>50.84</c:v>
                </c:pt>
                <c:pt idx="248">
                  <c:v>51.459999000000003</c:v>
                </c:pt>
                <c:pt idx="249">
                  <c:v>51.419998</c:v>
                </c:pt>
                <c:pt idx="250">
                  <c:v>50.41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Data!$J$2</c:f>
              <c:strCache>
                <c:ptCount val="1"/>
                <c:pt idx="0">
                  <c:v>DIS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Data!$A$3:$A$253</c:f>
              <c:numCache>
                <c:formatCode>m/d/yyyy</c:formatCode>
                <c:ptCount val="251"/>
                <c:pt idx="0">
                  <c:v>42391</c:v>
                </c:pt>
                <c:pt idx="1">
                  <c:v>42390</c:v>
                </c:pt>
                <c:pt idx="2">
                  <c:v>42389</c:v>
                </c:pt>
                <c:pt idx="3">
                  <c:v>42388</c:v>
                </c:pt>
                <c:pt idx="4">
                  <c:v>42384</c:v>
                </c:pt>
                <c:pt idx="5">
                  <c:v>42383</c:v>
                </c:pt>
                <c:pt idx="6">
                  <c:v>42382</c:v>
                </c:pt>
                <c:pt idx="7">
                  <c:v>42381</c:v>
                </c:pt>
                <c:pt idx="8">
                  <c:v>42380</c:v>
                </c:pt>
                <c:pt idx="9">
                  <c:v>42377</c:v>
                </c:pt>
                <c:pt idx="10">
                  <c:v>42376</c:v>
                </c:pt>
                <c:pt idx="11">
                  <c:v>42375</c:v>
                </c:pt>
                <c:pt idx="12">
                  <c:v>42374</c:v>
                </c:pt>
                <c:pt idx="13">
                  <c:v>42373</c:v>
                </c:pt>
                <c:pt idx="14">
                  <c:v>42369</c:v>
                </c:pt>
                <c:pt idx="15">
                  <c:v>42368</c:v>
                </c:pt>
                <c:pt idx="16">
                  <c:v>42367</c:v>
                </c:pt>
                <c:pt idx="17">
                  <c:v>42366</c:v>
                </c:pt>
                <c:pt idx="18">
                  <c:v>42362</c:v>
                </c:pt>
                <c:pt idx="19">
                  <c:v>42361</c:v>
                </c:pt>
                <c:pt idx="20">
                  <c:v>42360</c:v>
                </c:pt>
                <c:pt idx="21">
                  <c:v>42359</c:v>
                </c:pt>
                <c:pt idx="22">
                  <c:v>42356</c:v>
                </c:pt>
                <c:pt idx="23">
                  <c:v>42355</c:v>
                </c:pt>
                <c:pt idx="24">
                  <c:v>42354</c:v>
                </c:pt>
                <c:pt idx="25">
                  <c:v>42353</c:v>
                </c:pt>
                <c:pt idx="26">
                  <c:v>42352</c:v>
                </c:pt>
                <c:pt idx="27">
                  <c:v>42349</c:v>
                </c:pt>
                <c:pt idx="28">
                  <c:v>42348</c:v>
                </c:pt>
                <c:pt idx="29">
                  <c:v>42347</c:v>
                </c:pt>
                <c:pt idx="30">
                  <c:v>42346</c:v>
                </c:pt>
                <c:pt idx="31">
                  <c:v>42345</c:v>
                </c:pt>
                <c:pt idx="32">
                  <c:v>42342</c:v>
                </c:pt>
                <c:pt idx="33">
                  <c:v>42341</c:v>
                </c:pt>
                <c:pt idx="34">
                  <c:v>42340</c:v>
                </c:pt>
                <c:pt idx="35">
                  <c:v>42339</c:v>
                </c:pt>
                <c:pt idx="36">
                  <c:v>42338</c:v>
                </c:pt>
                <c:pt idx="37">
                  <c:v>42335</c:v>
                </c:pt>
                <c:pt idx="38">
                  <c:v>42333</c:v>
                </c:pt>
                <c:pt idx="39">
                  <c:v>42332</c:v>
                </c:pt>
                <c:pt idx="40">
                  <c:v>42331</c:v>
                </c:pt>
                <c:pt idx="41">
                  <c:v>42328</c:v>
                </c:pt>
                <c:pt idx="42">
                  <c:v>42327</c:v>
                </c:pt>
                <c:pt idx="43">
                  <c:v>42326</c:v>
                </c:pt>
                <c:pt idx="44">
                  <c:v>42325</c:v>
                </c:pt>
                <c:pt idx="45">
                  <c:v>42324</c:v>
                </c:pt>
                <c:pt idx="46">
                  <c:v>42321</c:v>
                </c:pt>
                <c:pt idx="47">
                  <c:v>42320</c:v>
                </c:pt>
                <c:pt idx="48">
                  <c:v>42319</c:v>
                </c:pt>
                <c:pt idx="49">
                  <c:v>42318</c:v>
                </c:pt>
                <c:pt idx="50">
                  <c:v>42317</c:v>
                </c:pt>
                <c:pt idx="51">
                  <c:v>42314</c:v>
                </c:pt>
                <c:pt idx="52">
                  <c:v>42313</c:v>
                </c:pt>
                <c:pt idx="53">
                  <c:v>42312</c:v>
                </c:pt>
                <c:pt idx="54">
                  <c:v>42311</c:v>
                </c:pt>
                <c:pt idx="55">
                  <c:v>42310</c:v>
                </c:pt>
                <c:pt idx="56">
                  <c:v>42307</c:v>
                </c:pt>
                <c:pt idx="57">
                  <c:v>42306</c:v>
                </c:pt>
                <c:pt idx="58">
                  <c:v>42305</c:v>
                </c:pt>
                <c:pt idx="59">
                  <c:v>42304</c:v>
                </c:pt>
                <c:pt idx="60">
                  <c:v>42303</c:v>
                </c:pt>
                <c:pt idx="61">
                  <c:v>42300</c:v>
                </c:pt>
                <c:pt idx="62">
                  <c:v>42299</c:v>
                </c:pt>
                <c:pt idx="63">
                  <c:v>42298</c:v>
                </c:pt>
                <c:pt idx="64">
                  <c:v>42297</c:v>
                </c:pt>
                <c:pt idx="65">
                  <c:v>42296</c:v>
                </c:pt>
                <c:pt idx="66">
                  <c:v>42293</c:v>
                </c:pt>
                <c:pt idx="67">
                  <c:v>42292</c:v>
                </c:pt>
                <c:pt idx="68">
                  <c:v>42291</c:v>
                </c:pt>
                <c:pt idx="69">
                  <c:v>42290</c:v>
                </c:pt>
                <c:pt idx="70">
                  <c:v>42289</c:v>
                </c:pt>
                <c:pt idx="71">
                  <c:v>42286</c:v>
                </c:pt>
                <c:pt idx="72">
                  <c:v>42285</c:v>
                </c:pt>
                <c:pt idx="73">
                  <c:v>42284</c:v>
                </c:pt>
                <c:pt idx="74">
                  <c:v>42283</c:v>
                </c:pt>
                <c:pt idx="75">
                  <c:v>42282</c:v>
                </c:pt>
                <c:pt idx="76">
                  <c:v>42279</c:v>
                </c:pt>
                <c:pt idx="77">
                  <c:v>42278</c:v>
                </c:pt>
                <c:pt idx="78">
                  <c:v>42277</c:v>
                </c:pt>
                <c:pt idx="79">
                  <c:v>42276</c:v>
                </c:pt>
                <c:pt idx="80">
                  <c:v>42275</c:v>
                </c:pt>
                <c:pt idx="81">
                  <c:v>42272</c:v>
                </c:pt>
                <c:pt idx="82">
                  <c:v>42271</c:v>
                </c:pt>
                <c:pt idx="83">
                  <c:v>42270</c:v>
                </c:pt>
                <c:pt idx="84">
                  <c:v>42269</c:v>
                </c:pt>
                <c:pt idx="85">
                  <c:v>42268</c:v>
                </c:pt>
                <c:pt idx="86">
                  <c:v>42265</c:v>
                </c:pt>
                <c:pt idx="87">
                  <c:v>42264</c:v>
                </c:pt>
                <c:pt idx="88">
                  <c:v>42263</c:v>
                </c:pt>
                <c:pt idx="89">
                  <c:v>42262</c:v>
                </c:pt>
                <c:pt idx="90">
                  <c:v>42261</c:v>
                </c:pt>
                <c:pt idx="91">
                  <c:v>42258</c:v>
                </c:pt>
                <c:pt idx="92">
                  <c:v>42257</c:v>
                </c:pt>
                <c:pt idx="93">
                  <c:v>42256</c:v>
                </c:pt>
                <c:pt idx="94">
                  <c:v>42255</c:v>
                </c:pt>
                <c:pt idx="95">
                  <c:v>42251</c:v>
                </c:pt>
                <c:pt idx="96">
                  <c:v>42250</c:v>
                </c:pt>
                <c:pt idx="97">
                  <c:v>42249</c:v>
                </c:pt>
                <c:pt idx="98">
                  <c:v>42248</c:v>
                </c:pt>
                <c:pt idx="99">
                  <c:v>42247</c:v>
                </c:pt>
                <c:pt idx="100">
                  <c:v>42244</c:v>
                </c:pt>
                <c:pt idx="101">
                  <c:v>42243</c:v>
                </c:pt>
                <c:pt idx="102">
                  <c:v>42242</c:v>
                </c:pt>
                <c:pt idx="103">
                  <c:v>42241</c:v>
                </c:pt>
                <c:pt idx="104">
                  <c:v>42240</c:v>
                </c:pt>
                <c:pt idx="105">
                  <c:v>42237</c:v>
                </c:pt>
                <c:pt idx="106">
                  <c:v>42236</c:v>
                </c:pt>
                <c:pt idx="107">
                  <c:v>42235</c:v>
                </c:pt>
                <c:pt idx="108">
                  <c:v>42234</c:v>
                </c:pt>
                <c:pt idx="109">
                  <c:v>42233</c:v>
                </c:pt>
                <c:pt idx="110">
                  <c:v>42230</c:v>
                </c:pt>
                <c:pt idx="111">
                  <c:v>42229</c:v>
                </c:pt>
                <c:pt idx="112">
                  <c:v>42228</c:v>
                </c:pt>
                <c:pt idx="113">
                  <c:v>42227</c:v>
                </c:pt>
                <c:pt idx="114">
                  <c:v>42226</c:v>
                </c:pt>
                <c:pt idx="115">
                  <c:v>42223</c:v>
                </c:pt>
                <c:pt idx="116">
                  <c:v>42222</c:v>
                </c:pt>
                <c:pt idx="117">
                  <c:v>42221</c:v>
                </c:pt>
                <c:pt idx="118">
                  <c:v>42220</c:v>
                </c:pt>
                <c:pt idx="119">
                  <c:v>42219</c:v>
                </c:pt>
                <c:pt idx="120">
                  <c:v>42216</c:v>
                </c:pt>
                <c:pt idx="121">
                  <c:v>42215</c:v>
                </c:pt>
                <c:pt idx="122">
                  <c:v>42214</c:v>
                </c:pt>
                <c:pt idx="123">
                  <c:v>42213</c:v>
                </c:pt>
                <c:pt idx="124">
                  <c:v>42212</c:v>
                </c:pt>
                <c:pt idx="125">
                  <c:v>42209</c:v>
                </c:pt>
                <c:pt idx="126">
                  <c:v>42208</c:v>
                </c:pt>
                <c:pt idx="127">
                  <c:v>42207</c:v>
                </c:pt>
                <c:pt idx="128">
                  <c:v>42206</c:v>
                </c:pt>
                <c:pt idx="129">
                  <c:v>42205</c:v>
                </c:pt>
                <c:pt idx="130">
                  <c:v>42202</c:v>
                </c:pt>
                <c:pt idx="131">
                  <c:v>42201</c:v>
                </c:pt>
                <c:pt idx="132">
                  <c:v>42200</c:v>
                </c:pt>
                <c:pt idx="133">
                  <c:v>42199</c:v>
                </c:pt>
                <c:pt idx="134">
                  <c:v>42198</c:v>
                </c:pt>
                <c:pt idx="135">
                  <c:v>42195</c:v>
                </c:pt>
                <c:pt idx="136">
                  <c:v>42194</c:v>
                </c:pt>
                <c:pt idx="137">
                  <c:v>42193</c:v>
                </c:pt>
                <c:pt idx="138">
                  <c:v>42192</c:v>
                </c:pt>
                <c:pt idx="139">
                  <c:v>42191</c:v>
                </c:pt>
                <c:pt idx="140">
                  <c:v>42187</c:v>
                </c:pt>
                <c:pt idx="141">
                  <c:v>42186</c:v>
                </c:pt>
                <c:pt idx="142">
                  <c:v>42185</c:v>
                </c:pt>
                <c:pt idx="143">
                  <c:v>42184</c:v>
                </c:pt>
                <c:pt idx="144">
                  <c:v>42181</c:v>
                </c:pt>
                <c:pt idx="145">
                  <c:v>42180</c:v>
                </c:pt>
                <c:pt idx="146">
                  <c:v>42179</c:v>
                </c:pt>
                <c:pt idx="147">
                  <c:v>42178</c:v>
                </c:pt>
                <c:pt idx="148">
                  <c:v>42177</c:v>
                </c:pt>
                <c:pt idx="149">
                  <c:v>42174</c:v>
                </c:pt>
                <c:pt idx="150">
                  <c:v>42173</c:v>
                </c:pt>
                <c:pt idx="151">
                  <c:v>42172</c:v>
                </c:pt>
                <c:pt idx="152">
                  <c:v>42171</c:v>
                </c:pt>
                <c:pt idx="153">
                  <c:v>42170</c:v>
                </c:pt>
                <c:pt idx="154">
                  <c:v>42167</c:v>
                </c:pt>
                <c:pt idx="155">
                  <c:v>42166</c:v>
                </c:pt>
                <c:pt idx="156">
                  <c:v>42165</c:v>
                </c:pt>
                <c:pt idx="157">
                  <c:v>42164</c:v>
                </c:pt>
                <c:pt idx="158">
                  <c:v>42163</c:v>
                </c:pt>
                <c:pt idx="159">
                  <c:v>42160</c:v>
                </c:pt>
                <c:pt idx="160">
                  <c:v>42159</c:v>
                </c:pt>
                <c:pt idx="161">
                  <c:v>42158</c:v>
                </c:pt>
                <c:pt idx="162">
                  <c:v>42157</c:v>
                </c:pt>
                <c:pt idx="163">
                  <c:v>42156</c:v>
                </c:pt>
                <c:pt idx="164">
                  <c:v>42153</c:v>
                </c:pt>
                <c:pt idx="165">
                  <c:v>42152</c:v>
                </c:pt>
                <c:pt idx="166">
                  <c:v>42151</c:v>
                </c:pt>
                <c:pt idx="167">
                  <c:v>42150</c:v>
                </c:pt>
                <c:pt idx="168">
                  <c:v>42146</c:v>
                </c:pt>
                <c:pt idx="169">
                  <c:v>42145</c:v>
                </c:pt>
                <c:pt idx="170">
                  <c:v>42144</c:v>
                </c:pt>
                <c:pt idx="171">
                  <c:v>42143</c:v>
                </c:pt>
                <c:pt idx="172">
                  <c:v>42142</c:v>
                </c:pt>
                <c:pt idx="173">
                  <c:v>42139</c:v>
                </c:pt>
                <c:pt idx="174">
                  <c:v>42138</c:v>
                </c:pt>
                <c:pt idx="175">
                  <c:v>42137</c:v>
                </c:pt>
                <c:pt idx="176">
                  <c:v>42136</c:v>
                </c:pt>
                <c:pt idx="177">
                  <c:v>42135</c:v>
                </c:pt>
                <c:pt idx="178">
                  <c:v>42132</c:v>
                </c:pt>
                <c:pt idx="179">
                  <c:v>42131</c:v>
                </c:pt>
                <c:pt idx="180">
                  <c:v>42130</c:v>
                </c:pt>
                <c:pt idx="181">
                  <c:v>42129</c:v>
                </c:pt>
                <c:pt idx="182">
                  <c:v>42128</c:v>
                </c:pt>
                <c:pt idx="183">
                  <c:v>42125</c:v>
                </c:pt>
                <c:pt idx="184">
                  <c:v>42124</c:v>
                </c:pt>
                <c:pt idx="185">
                  <c:v>42123</c:v>
                </c:pt>
                <c:pt idx="186">
                  <c:v>42122</c:v>
                </c:pt>
                <c:pt idx="187">
                  <c:v>42121</c:v>
                </c:pt>
                <c:pt idx="188">
                  <c:v>42118</c:v>
                </c:pt>
                <c:pt idx="189">
                  <c:v>42117</c:v>
                </c:pt>
                <c:pt idx="190">
                  <c:v>42116</c:v>
                </c:pt>
                <c:pt idx="191">
                  <c:v>42115</c:v>
                </c:pt>
                <c:pt idx="192">
                  <c:v>42114</c:v>
                </c:pt>
                <c:pt idx="193">
                  <c:v>42111</c:v>
                </c:pt>
                <c:pt idx="194">
                  <c:v>42110</c:v>
                </c:pt>
                <c:pt idx="195">
                  <c:v>42109</c:v>
                </c:pt>
                <c:pt idx="196">
                  <c:v>42108</c:v>
                </c:pt>
                <c:pt idx="197">
                  <c:v>42107</c:v>
                </c:pt>
                <c:pt idx="198">
                  <c:v>42104</c:v>
                </c:pt>
                <c:pt idx="199">
                  <c:v>42103</c:v>
                </c:pt>
                <c:pt idx="200">
                  <c:v>42102</c:v>
                </c:pt>
                <c:pt idx="201">
                  <c:v>42101</c:v>
                </c:pt>
                <c:pt idx="202">
                  <c:v>42100</c:v>
                </c:pt>
                <c:pt idx="203">
                  <c:v>42096</c:v>
                </c:pt>
                <c:pt idx="204">
                  <c:v>42095</c:v>
                </c:pt>
                <c:pt idx="205">
                  <c:v>42094</c:v>
                </c:pt>
                <c:pt idx="206">
                  <c:v>42093</c:v>
                </c:pt>
                <c:pt idx="207">
                  <c:v>42090</c:v>
                </c:pt>
                <c:pt idx="208">
                  <c:v>42089</c:v>
                </c:pt>
                <c:pt idx="209">
                  <c:v>42088</c:v>
                </c:pt>
                <c:pt idx="210">
                  <c:v>42087</c:v>
                </c:pt>
                <c:pt idx="211">
                  <c:v>42086</c:v>
                </c:pt>
                <c:pt idx="212">
                  <c:v>42083</c:v>
                </c:pt>
                <c:pt idx="213">
                  <c:v>42082</c:v>
                </c:pt>
                <c:pt idx="214">
                  <c:v>42081</c:v>
                </c:pt>
                <c:pt idx="215">
                  <c:v>42080</c:v>
                </c:pt>
                <c:pt idx="216">
                  <c:v>42079</c:v>
                </c:pt>
                <c:pt idx="217">
                  <c:v>42076</c:v>
                </c:pt>
                <c:pt idx="218">
                  <c:v>42075</c:v>
                </c:pt>
                <c:pt idx="219">
                  <c:v>42074</c:v>
                </c:pt>
                <c:pt idx="220">
                  <c:v>42073</c:v>
                </c:pt>
                <c:pt idx="221">
                  <c:v>42072</c:v>
                </c:pt>
                <c:pt idx="222">
                  <c:v>42069</c:v>
                </c:pt>
                <c:pt idx="223">
                  <c:v>42068</c:v>
                </c:pt>
                <c:pt idx="224">
                  <c:v>42067</c:v>
                </c:pt>
                <c:pt idx="225">
                  <c:v>42066</c:v>
                </c:pt>
                <c:pt idx="226">
                  <c:v>42065</c:v>
                </c:pt>
                <c:pt idx="227">
                  <c:v>42062</c:v>
                </c:pt>
                <c:pt idx="228">
                  <c:v>42061</c:v>
                </c:pt>
                <c:pt idx="229">
                  <c:v>42060</c:v>
                </c:pt>
                <c:pt idx="230">
                  <c:v>42059</c:v>
                </c:pt>
                <c:pt idx="231">
                  <c:v>42058</c:v>
                </c:pt>
                <c:pt idx="232">
                  <c:v>42055</c:v>
                </c:pt>
                <c:pt idx="233">
                  <c:v>42054</c:v>
                </c:pt>
                <c:pt idx="234">
                  <c:v>42053</c:v>
                </c:pt>
                <c:pt idx="235">
                  <c:v>42052</c:v>
                </c:pt>
                <c:pt idx="236">
                  <c:v>42048</c:v>
                </c:pt>
                <c:pt idx="237">
                  <c:v>42047</c:v>
                </c:pt>
                <c:pt idx="238">
                  <c:v>42046</c:v>
                </c:pt>
                <c:pt idx="239">
                  <c:v>42045</c:v>
                </c:pt>
                <c:pt idx="240">
                  <c:v>42044</c:v>
                </c:pt>
                <c:pt idx="241">
                  <c:v>42041</c:v>
                </c:pt>
                <c:pt idx="242">
                  <c:v>42040</c:v>
                </c:pt>
                <c:pt idx="243">
                  <c:v>42039</c:v>
                </c:pt>
                <c:pt idx="244">
                  <c:v>42038</c:v>
                </c:pt>
                <c:pt idx="245">
                  <c:v>42037</c:v>
                </c:pt>
                <c:pt idx="246">
                  <c:v>42034</c:v>
                </c:pt>
                <c:pt idx="247">
                  <c:v>42033</c:v>
                </c:pt>
                <c:pt idx="248">
                  <c:v>42032</c:v>
                </c:pt>
                <c:pt idx="249">
                  <c:v>42031</c:v>
                </c:pt>
                <c:pt idx="250">
                  <c:v>42030</c:v>
                </c:pt>
              </c:numCache>
            </c:numRef>
          </c:cat>
          <c:val>
            <c:numRef>
              <c:f>Data!$J$3:$J$253</c:f>
              <c:numCache>
                <c:formatCode>* #,##0.00</c:formatCode>
                <c:ptCount val="251"/>
                <c:pt idx="0" formatCode="_-&quot;$&quot;* #,##0.00">
                  <c:v>96.900002000000001</c:v>
                </c:pt>
                <c:pt idx="1">
                  <c:v>94.019997000000004</c:v>
                </c:pt>
                <c:pt idx="2">
                  <c:v>92.540001000000004</c:v>
                </c:pt>
                <c:pt idx="3">
                  <c:v>93.970000999999996</c:v>
                </c:pt>
                <c:pt idx="4">
                  <c:v>93.900002000000001</c:v>
                </c:pt>
                <c:pt idx="5">
                  <c:v>99.110000999999997</c:v>
                </c:pt>
                <c:pt idx="6">
                  <c:v>98.480002999999996</c:v>
                </c:pt>
                <c:pt idx="7">
                  <c:v>101.459999</c:v>
                </c:pt>
                <c:pt idx="8">
                  <c:v>99.919998000000007</c:v>
                </c:pt>
                <c:pt idx="9">
                  <c:v>99.25</c:v>
                </c:pt>
                <c:pt idx="10">
                  <c:v>99.5</c:v>
                </c:pt>
                <c:pt idx="11">
                  <c:v>100.360001</c:v>
                </c:pt>
                <c:pt idx="12">
                  <c:v>100.900002</c:v>
                </c:pt>
                <c:pt idx="13">
                  <c:v>102.980003</c:v>
                </c:pt>
                <c:pt idx="14">
                  <c:v>105.08000199999999</c:v>
                </c:pt>
                <c:pt idx="15">
                  <c:v>106.339996</c:v>
                </c:pt>
                <c:pt idx="16">
                  <c:v>107.08000199999999</c:v>
                </c:pt>
                <c:pt idx="17">
                  <c:v>107.25</c:v>
                </c:pt>
                <c:pt idx="18">
                  <c:v>105.860001</c:v>
                </c:pt>
                <c:pt idx="19">
                  <c:v>105.55999799999999</c:v>
                </c:pt>
                <c:pt idx="20">
                  <c:v>106.739998</c:v>
                </c:pt>
                <c:pt idx="21">
                  <c:v>106.589996</c:v>
                </c:pt>
                <c:pt idx="22">
                  <c:v>107.720001</c:v>
                </c:pt>
                <c:pt idx="23">
                  <c:v>112.010002</c:v>
                </c:pt>
                <c:pt idx="24">
                  <c:v>113.790001</c:v>
                </c:pt>
                <c:pt idx="25">
                  <c:v>112.160004</c:v>
                </c:pt>
                <c:pt idx="26">
                  <c:v>109.349998</c:v>
                </c:pt>
                <c:pt idx="27">
                  <c:v>108.040001</c:v>
                </c:pt>
                <c:pt idx="28">
                  <c:v>110.760002</c:v>
                </c:pt>
                <c:pt idx="29">
                  <c:v>110.760003</c:v>
                </c:pt>
                <c:pt idx="30">
                  <c:v>111.763572</c:v>
                </c:pt>
                <c:pt idx="31">
                  <c:v>113.104972</c:v>
                </c:pt>
                <c:pt idx="32">
                  <c:v>113.512356</c:v>
                </c:pt>
                <c:pt idx="33">
                  <c:v>111.17732599999999</c:v>
                </c:pt>
                <c:pt idx="34">
                  <c:v>113.273887</c:v>
                </c:pt>
                <c:pt idx="35">
                  <c:v>114.655033</c:v>
                </c:pt>
                <c:pt idx="36">
                  <c:v>112.747264</c:v>
                </c:pt>
                <c:pt idx="37">
                  <c:v>114.396687</c:v>
                </c:pt>
                <c:pt idx="38">
                  <c:v>117.91414</c:v>
                </c:pt>
                <c:pt idx="39">
                  <c:v>117.198725</c:v>
                </c:pt>
                <c:pt idx="40">
                  <c:v>118.659363</c:v>
                </c:pt>
                <c:pt idx="41">
                  <c:v>119.305224</c:v>
                </c:pt>
                <c:pt idx="42">
                  <c:v>117.953886</c:v>
                </c:pt>
                <c:pt idx="43">
                  <c:v>117.387517</c:v>
                </c:pt>
                <c:pt idx="44">
                  <c:v>115.390317</c:v>
                </c:pt>
                <c:pt idx="45">
                  <c:v>115.181656</c:v>
                </c:pt>
                <c:pt idx="46">
                  <c:v>114.10853299999999</c:v>
                </c:pt>
                <c:pt idx="47">
                  <c:v>115.46981</c:v>
                </c:pt>
                <c:pt idx="48">
                  <c:v>115.777833</c:v>
                </c:pt>
                <c:pt idx="49">
                  <c:v>116.672102</c:v>
                </c:pt>
                <c:pt idx="50">
                  <c:v>115.678471</c:v>
                </c:pt>
                <c:pt idx="51">
                  <c:v>114.93324800000001</c:v>
                </c:pt>
                <c:pt idx="52">
                  <c:v>112.28025599999999</c:v>
                </c:pt>
                <c:pt idx="53">
                  <c:v>112.52866400000001</c:v>
                </c:pt>
                <c:pt idx="54">
                  <c:v>114.804079</c:v>
                </c:pt>
                <c:pt idx="55">
                  <c:v>114.307264</c:v>
                </c:pt>
                <c:pt idx="56">
                  <c:v>113.015541</c:v>
                </c:pt>
                <c:pt idx="57">
                  <c:v>114.307264</c:v>
                </c:pt>
                <c:pt idx="58">
                  <c:v>113.611718</c:v>
                </c:pt>
                <c:pt idx="59">
                  <c:v>113.045349</c:v>
                </c:pt>
                <c:pt idx="60">
                  <c:v>112.796941</c:v>
                </c:pt>
                <c:pt idx="61">
                  <c:v>112.36968</c:v>
                </c:pt>
                <c:pt idx="62">
                  <c:v>112.52866400000001</c:v>
                </c:pt>
                <c:pt idx="63">
                  <c:v>109.38878800000001</c:v>
                </c:pt>
                <c:pt idx="64">
                  <c:v>109.14037999999999</c:v>
                </c:pt>
                <c:pt idx="65">
                  <c:v>108.77274199999999</c:v>
                </c:pt>
                <c:pt idx="66">
                  <c:v>107.550573</c:v>
                </c:pt>
                <c:pt idx="67">
                  <c:v>107.202804</c:v>
                </c:pt>
                <c:pt idx="68">
                  <c:v>105.05656500000001</c:v>
                </c:pt>
                <c:pt idx="69">
                  <c:v>105.911081</c:v>
                </c:pt>
                <c:pt idx="70">
                  <c:v>105.672612</c:v>
                </c:pt>
                <c:pt idx="71">
                  <c:v>104.887642</c:v>
                </c:pt>
                <c:pt idx="72">
                  <c:v>103.943696</c:v>
                </c:pt>
                <c:pt idx="73">
                  <c:v>102.731466</c:v>
                </c:pt>
                <c:pt idx="74">
                  <c:v>103.109043</c:v>
                </c:pt>
                <c:pt idx="75">
                  <c:v>103.188535</c:v>
                </c:pt>
                <c:pt idx="76">
                  <c:v>102.343951</c:v>
                </c:pt>
                <c:pt idx="77">
                  <c:v>102.016051</c:v>
                </c:pt>
                <c:pt idx="78">
                  <c:v>101.549043</c:v>
                </c:pt>
                <c:pt idx="79">
                  <c:v>98.786750999999995</c:v>
                </c:pt>
                <c:pt idx="80">
                  <c:v>97.862673999999998</c:v>
                </c:pt>
                <c:pt idx="81">
                  <c:v>99.661151000000004</c:v>
                </c:pt>
                <c:pt idx="82">
                  <c:v>99.979112000000001</c:v>
                </c:pt>
                <c:pt idx="83">
                  <c:v>100.92305899999999</c:v>
                </c:pt>
                <c:pt idx="84">
                  <c:v>101.837197</c:v>
                </c:pt>
                <c:pt idx="85">
                  <c:v>102.75134300000001</c:v>
                </c:pt>
                <c:pt idx="86">
                  <c:v>102.184966</c:v>
                </c:pt>
                <c:pt idx="87">
                  <c:v>103.536304</c:v>
                </c:pt>
                <c:pt idx="88">
                  <c:v>103.29783500000001</c:v>
                </c:pt>
                <c:pt idx="89">
                  <c:v>102.77121200000001</c:v>
                </c:pt>
                <c:pt idx="90">
                  <c:v>103.158727</c:v>
                </c:pt>
                <c:pt idx="91">
                  <c:v>103.814527</c:v>
                </c:pt>
                <c:pt idx="92">
                  <c:v>101.94649699999999</c:v>
                </c:pt>
                <c:pt idx="93">
                  <c:v>101.260897</c:v>
                </c:pt>
                <c:pt idx="94">
                  <c:v>103.34752</c:v>
                </c:pt>
                <c:pt idx="95">
                  <c:v>100.326882</c:v>
                </c:pt>
                <c:pt idx="96">
                  <c:v>101.34038200000001</c:v>
                </c:pt>
                <c:pt idx="97">
                  <c:v>101.24102000000001</c:v>
                </c:pt>
                <c:pt idx="98">
                  <c:v>98.876182</c:v>
                </c:pt>
                <c:pt idx="99">
                  <c:v>101.231082</c:v>
                </c:pt>
                <c:pt idx="100">
                  <c:v>101.82726599999999</c:v>
                </c:pt>
                <c:pt idx="101">
                  <c:v>101.51923499999999</c:v>
                </c:pt>
                <c:pt idx="102">
                  <c:v>98.597966999999997</c:v>
                </c:pt>
                <c:pt idx="103">
                  <c:v>95.279235999999997</c:v>
                </c:pt>
                <c:pt idx="104">
                  <c:v>94.752612999999997</c:v>
                </c:pt>
                <c:pt idx="105">
                  <c:v>98.210443999999995</c:v>
                </c:pt>
                <c:pt idx="106">
                  <c:v>99.382928000000007</c:v>
                </c:pt>
                <c:pt idx="107">
                  <c:v>105.771973</c:v>
                </c:pt>
                <c:pt idx="108">
                  <c:v>106.258858</c:v>
                </c:pt>
                <c:pt idx="109">
                  <c:v>108.355419</c:v>
                </c:pt>
                <c:pt idx="110">
                  <c:v>106.477457</c:v>
                </c:pt>
                <c:pt idx="111">
                  <c:v>106.835157</c:v>
                </c:pt>
                <c:pt idx="112">
                  <c:v>106.30853399999999</c:v>
                </c:pt>
                <c:pt idx="113">
                  <c:v>107.31210400000001</c:v>
                </c:pt>
                <c:pt idx="114">
                  <c:v>110.292995</c:v>
                </c:pt>
                <c:pt idx="115">
                  <c:v>108.653503</c:v>
                </c:pt>
                <c:pt idx="116">
                  <c:v>107.858603</c:v>
                </c:pt>
                <c:pt idx="117">
                  <c:v>109.825988</c:v>
                </c:pt>
                <c:pt idx="118">
                  <c:v>120.91490899999999</c:v>
                </c:pt>
                <c:pt idx="119">
                  <c:v>120.34854</c:v>
                </c:pt>
                <c:pt idx="120">
                  <c:v>119.235671</c:v>
                </c:pt>
                <c:pt idx="121">
                  <c:v>119.265478</c:v>
                </c:pt>
                <c:pt idx="122">
                  <c:v>119.076686</c:v>
                </c:pt>
                <c:pt idx="123">
                  <c:v>117.705479</c:v>
                </c:pt>
                <c:pt idx="124">
                  <c:v>117.49681699999999</c:v>
                </c:pt>
                <c:pt idx="125">
                  <c:v>118.15261700000001</c:v>
                </c:pt>
                <c:pt idx="126">
                  <c:v>118.043317</c:v>
                </c:pt>
                <c:pt idx="127">
                  <c:v>118.56994</c:v>
                </c:pt>
                <c:pt idx="128">
                  <c:v>118.55006299999999</c:v>
                </c:pt>
                <c:pt idx="129">
                  <c:v>118.818348</c:v>
                </c:pt>
                <c:pt idx="130">
                  <c:v>118.102932</c:v>
                </c:pt>
                <c:pt idx="131">
                  <c:v>118.311594</c:v>
                </c:pt>
                <c:pt idx="132">
                  <c:v>117.546502</c:v>
                </c:pt>
                <c:pt idx="133">
                  <c:v>117.099363</c:v>
                </c:pt>
                <c:pt idx="134">
                  <c:v>117.29809400000001</c:v>
                </c:pt>
                <c:pt idx="135">
                  <c:v>115.698348</c:v>
                </c:pt>
                <c:pt idx="136">
                  <c:v>114.863694</c:v>
                </c:pt>
                <c:pt idx="137">
                  <c:v>114.45631</c:v>
                </c:pt>
                <c:pt idx="138">
                  <c:v>116.35414</c:v>
                </c:pt>
                <c:pt idx="139">
                  <c:v>114.96305599999999</c:v>
                </c:pt>
                <c:pt idx="140">
                  <c:v>114.23771000000001</c:v>
                </c:pt>
                <c:pt idx="141">
                  <c:v>114.396687</c:v>
                </c:pt>
                <c:pt idx="142">
                  <c:v>112.7572</c:v>
                </c:pt>
                <c:pt idx="143">
                  <c:v>111.680409</c:v>
                </c:pt>
                <c:pt idx="144">
                  <c:v>113.596901</c:v>
                </c:pt>
                <c:pt idx="145">
                  <c:v>113.06344199999999</c:v>
                </c:pt>
                <c:pt idx="146">
                  <c:v>112.39167999999999</c:v>
                </c:pt>
                <c:pt idx="147">
                  <c:v>113.023933</c:v>
                </c:pt>
                <c:pt idx="148">
                  <c:v>112.154589</c:v>
                </c:pt>
                <c:pt idx="149">
                  <c:v>111.255618</c:v>
                </c:pt>
                <c:pt idx="150">
                  <c:v>111.848347</c:v>
                </c:pt>
                <c:pt idx="151">
                  <c:v>110.139303</c:v>
                </c:pt>
                <c:pt idx="152">
                  <c:v>109.714512</c:v>
                </c:pt>
                <c:pt idx="153">
                  <c:v>108.845176</c:v>
                </c:pt>
                <c:pt idx="154">
                  <c:v>108.617959</c:v>
                </c:pt>
                <c:pt idx="155">
                  <c:v>109.279848</c:v>
                </c:pt>
                <c:pt idx="156">
                  <c:v>108.667356</c:v>
                </c:pt>
                <c:pt idx="157">
                  <c:v>107.20528299999999</c:v>
                </c:pt>
                <c:pt idx="158">
                  <c:v>107.965959</c:v>
                </c:pt>
                <c:pt idx="159">
                  <c:v>108.963725</c:v>
                </c:pt>
                <c:pt idx="160">
                  <c:v>108.963725</c:v>
                </c:pt>
                <c:pt idx="161">
                  <c:v>109.82317999999999</c:v>
                </c:pt>
                <c:pt idx="162">
                  <c:v>109.40827</c:v>
                </c:pt>
                <c:pt idx="163">
                  <c:v>109.615725</c:v>
                </c:pt>
                <c:pt idx="164">
                  <c:v>109.032877</c:v>
                </c:pt>
                <c:pt idx="165">
                  <c:v>109.190934</c:v>
                </c:pt>
                <c:pt idx="166">
                  <c:v>109.032877</c:v>
                </c:pt>
                <c:pt idx="167">
                  <c:v>108.114143</c:v>
                </c:pt>
                <c:pt idx="168">
                  <c:v>108.924209</c:v>
                </c:pt>
                <c:pt idx="169">
                  <c:v>109.05263100000001</c:v>
                </c:pt>
                <c:pt idx="170">
                  <c:v>108.86493</c:v>
                </c:pt>
                <c:pt idx="171">
                  <c:v>109.22057</c:v>
                </c:pt>
                <c:pt idx="172">
                  <c:v>108.99336</c:v>
                </c:pt>
                <c:pt idx="173">
                  <c:v>108.963725</c:v>
                </c:pt>
                <c:pt idx="174">
                  <c:v>108.59820499999999</c:v>
                </c:pt>
                <c:pt idx="175">
                  <c:v>107.867172</c:v>
                </c:pt>
                <c:pt idx="176">
                  <c:v>107.916562</c:v>
                </c:pt>
                <c:pt idx="177">
                  <c:v>107.284316</c:v>
                </c:pt>
                <c:pt idx="178">
                  <c:v>108.77602400000001</c:v>
                </c:pt>
                <c:pt idx="179">
                  <c:v>107.936324</c:v>
                </c:pt>
                <c:pt idx="180">
                  <c:v>108.39075</c:v>
                </c:pt>
                <c:pt idx="181">
                  <c:v>109.467541</c:v>
                </c:pt>
                <c:pt idx="182">
                  <c:v>109.684877</c:v>
                </c:pt>
                <c:pt idx="183">
                  <c:v>109.18105300000001</c:v>
                </c:pt>
                <c:pt idx="184">
                  <c:v>107.40286500000001</c:v>
                </c:pt>
                <c:pt idx="185">
                  <c:v>108.47965600000001</c:v>
                </c:pt>
                <c:pt idx="186">
                  <c:v>108.588324</c:v>
                </c:pt>
                <c:pt idx="187">
                  <c:v>108.825422</c:v>
                </c:pt>
                <c:pt idx="188">
                  <c:v>108.20304899999999</c:v>
                </c:pt>
                <c:pt idx="189">
                  <c:v>107.67947100000001</c:v>
                </c:pt>
                <c:pt idx="190">
                  <c:v>106.632316</c:v>
                </c:pt>
                <c:pt idx="191">
                  <c:v>106.375463</c:v>
                </c:pt>
                <c:pt idx="192">
                  <c:v>106.908922</c:v>
                </c:pt>
                <c:pt idx="193">
                  <c:v>105.397459</c:v>
                </c:pt>
                <c:pt idx="194">
                  <c:v>106.790373</c:v>
                </c:pt>
                <c:pt idx="195">
                  <c:v>105.683947</c:v>
                </c:pt>
                <c:pt idx="196">
                  <c:v>105.367824</c:v>
                </c:pt>
                <c:pt idx="197">
                  <c:v>105.21964</c:v>
                </c:pt>
                <c:pt idx="198">
                  <c:v>105.654304</c:v>
                </c:pt>
                <c:pt idx="199">
                  <c:v>105.476484</c:v>
                </c:pt>
                <c:pt idx="200">
                  <c:v>105.071455</c:v>
                </c:pt>
                <c:pt idx="201">
                  <c:v>104.152722</c:v>
                </c:pt>
                <c:pt idx="202">
                  <c:v>104.350296</c:v>
                </c:pt>
                <c:pt idx="203">
                  <c:v>104.715816</c:v>
                </c:pt>
                <c:pt idx="204">
                  <c:v>104.162603</c:v>
                </c:pt>
                <c:pt idx="205">
                  <c:v>103.619263</c:v>
                </c:pt>
                <c:pt idx="206">
                  <c:v>104.83436500000001</c:v>
                </c:pt>
                <c:pt idx="207">
                  <c:v>104.202119</c:v>
                </c:pt>
                <c:pt idx="208">
                  <c:v>103.96502099999999</c:v>
                </c:pt>
                <c:pt idx="209">
                  <c:v>103.727931</c:v>
                </c:pt>
                <c:pt idx="210">
                  <c:v>105.812369</c:v>
                </c:pt>
                <c:pt idx="211">
                  <c:v>106.908922</c:v>
                </c:pt>
                <c:pt idx="212">
                  <c:v>107.116377</c:v>
                </c:pt>
                <c:pt idx="213">
                  <c:v>106.069221</c:v>
                </c:pt>
                <c:pt idx="214">
                  <c:v>106.661951</c:v>
                </c:pt>
                <c:pt idx="215">
                  <c:v>105.664185</c:v>
                </c:pt>
                <c:pt idx="216">
                  <c:v>106.069221</c:v>
                </c:pt>
                <c:pt idx="217">
                  <c:v>105.150488</c:v>
                </c:pt>
                <c:pt idx="218">
                  <c:v>105.87164</c:v>
                </c:pt>
                <c:pt idx="219">
                  <c:v>101.64349300000001</c:v>
                </c:pt>
                <c:pt idx="220">
                  <c:v>101.841067</c:v>
                </c:pt>
                <c:pt idx="221">
                  <c:v>103.98478299999999</c:v>
                </c:pt>
                <c:pt idx="222">
                  <c:v>102.562226</c:v>
                </c:pt>
                <c:pt idx="223">
                  <c:v>103.757566</c:v>
                </c:pt>
                <c:pt idx="224">
                  <c:v>104.291025</c:v>
                </c:pt>
                <c:pt idx="225">
                  <c:v>105.06157399999999</c:v>
                </c:pt>
                <c:pt idx="226">
                  <c:v>104.607148</c:v>
                </c:pt>
                <c:pt idx="227">
                  <c:v>102.819079</c:v>
                </c:pt>
                <c:pt idx="228">
                  <c:v>103.29325900000001</c:v>
                </c:pt>
                <c:pt idx="229">
                  <c:v>104.291025</c:v>
                </c:pt>
                <c:pt idx="230">
                  <c:v>103.401927</c:v>
                </c:pt>
                <c:pt idx="231">
                  <c:v>103.71805000000001</c:v>
                </c:pt>
                <c:pt idx="232">
                  <c:v>103.28338599999999</c:v>
                </c:pt>
                <c:pt idx="233">
                  <c:v>102.631378</c:v>
                </c:pt>
                <c:pt idx="234">
                  <c:v>102.601743</c:v>
                </c:pt>
                <c:pt idx="235">
                  <c:v>102.85859499999999</c:v>
                </c:pt>
                <c:pt idx="236">
                  <c:v>102.907985</c:v>
                </c:pt>
                <c:pt idx="237">
                  <c:v>102.325136</c:v>
                </c:pt>
                <c:pt idx="238">
                  <c:v>100.63585399999999</c:v>
                </c:pt>
                <c:pt idx="239">
                  <c:v>100.685243</c:v>
                </c:pt>
                <c:pt idx="240">
                  <c:v>100.49755</c:v>
                </c:pt>
                <c:pt idx="241">
                  <c:v>100.78403</c:v>
                </c:pt>
                <c:pt idx="242">
                  <c:v>101.396522</c:v>
                </c:pt>
                <c:pt idx="243">
                  <c:v>100.052997</c:v>
                </c:pt>
                <c:pt idx="244">
                  <c:v>92.959981999999997</c:v>
                </c:pt>
                <c:pt idx="245">
                  <c:v>90.816274000000007</c:v>
                </c:pt>
                <c:pt idx="246">
                  <c:v>89.858024</c:v>
                </c:pt>
                <c:pt idx="247">
                  <c:v>92.090646000000007</c:v>
                </c:pt>
                <c:pt idx="248">
                  <c:v>91.547307000000004</c:v>
                </c:pt>
                <c:pt idx="249">
                  <c:v>92.831559999999996</c:v>
                </c:pt>
                <c:pt idx="250">
                  <c:v>93.819445000000002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1188484656"/>
        <c:axId val="-1188483568"/>
      </c:lineChart>
      <c:dateAx>
        <c:axId val="-1188484656"/>
        <c:scaling>
          <c:orientation val="maxMin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[$-409]mmm\-yy;@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483568"/>
        <c:crosses val="autoZero"/>
        <c:auto val="1"/>
        <c:lblOffset val="100"/>
        <c:baseTimeUnit val="days"/>
      </c:dateAx>
      <c:valAx>
        <c:axId val="-1188483568"/>
        <c:scaling>
          <c:orientation val="minMax"/>
        </c:scaling>
        <c:delete val="0"/>
        <c:axPos val="r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&quot;$&quot;* #,##0;\-&quot;$&quot;* #,##0;&quot;&quot;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484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0</xdr:rowOff>
    </xdr:from>
    <xdr:to>
      <xdr:col>20</xdr:col>
      <xdr:colOff>9525</xdr:colOff>
      <xdr:row>16</xdr:row>
      <xdr:rowOff>9525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20</xdr:col>
      <xdr:colOff>19050</xdr:colOff>
      <xdr:row>31</xdr:row>
      <xdr:rowOff>178076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aysmac\AppData\Roaming\Microsoft\AddIns\StockQuot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s"/>
      <sheetName val="Data"/>
    </sheetNames>
    <definedNames>
      <definedName name="StockDiv"/>
      <definedName name="StockMax"/>
      <definedName name="StockMin"/>
      <definedName name="StockQuote"/>
      <definedName name="StockVol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U25"/>
  <sheetViews>
    <sheetView showGridLines="0" workbookViewId="0">
      <selection activeCell="A12" sqref="A12"/>
    </sheetView>
  </sheetViews>
  <sheetFormatPr defaultRowHeight="14.25" x14ac:dyDescent="0.45"/>
  <cols>
    <col min="1" max="1" width="6" style="1" customWidth="1"/>
    <col min="2" max="2" width="18.59765625" style="1" customWidth="1"/>
    <col min="3" max="3" width="8.19921875" style="6" customWidth="1"/>
    <col min="4" max="4" width="7.33203125" style="1" bestFit="1" customWidth="1"/>
    <col min="5" max="5" width="8.06640625" style="2" customWidth="1"/>
    <col min="6" max="6" width="7.3984375" style="3" customWidth="1"/>
    <col min="7" max="7" width="8.46484375" style="3" customWidth="1"/>
    <col min="8" max="8" width="10.9296875" style="3" bestFit="1" customWidth="1"/>
    <col min="9" max="9" width="6.46484375" style="3" customWidth="1"/>
    <col min="10" max="11" width="10.9296875" style="3" customWidth="1"/>
    <col min="12" max="12" width="9.59765625" style="3" customWidth="1"/>
    <col min="13" max="14" width="10.86328125" style="3" customWidth="1"/>
    <col min="15" max="15" width="8" style="3" bestFit="1" customWidth="1"/>
    <col min="16" max="16" width="6.19921875" style="4" customWidth="1"/>
  </cols>
  <sheetData>
    <row r="1" spans="1:21" ht="14.25" customHeight="1" x14ac:dyDescent="0.45">
      <c r="A1" s="28" t="s">
        <v>6</v>
      </c>
      <c r="B1" s="56" t="s">
        <v>42</v>
      </c>
      <c r="C1" s="28" t="s">
        <v>5</v>
      </c>
      <c r="D1" s="33" t="s">
        <v>0</v>
      </c>
      <c r="E1" s="28" t="s">
        <v>4</v>
      </c>
      <c r="F1" s="28" t="s">
        <v>3</v>
      </c>
      <c r="G1" s="30" t="s">
        <v>2</v>
      </c>
      <c r="H1" s="26" t="s">
        <v>22</v>
      </c>
      <c r="I1" s="26" t="s">
        <v>25</v>
      </c>
      <c r="J1" s="26" t="s">
        <v>24</v>
      </c>
      <c r="K1" s="26" t="s">
        <v>27</v>
      </c>
      <c r="L1" s="26" t="s">
        <v>30</v>
      </c>
      <c r="M1" s="11">
        <v>52</v>
      </c>
      <c r="N1" s="11">
        <v>52</v>
      </c>
      <c r="O1" s="32" t="s">
        <v>9</v>
      </c>
      <c r="P1" s="12" t="s">
        <v>1</v>
      </c>
    </row>
    <row r="2" spans="1:21" x14ac:dyDescent="0.45">
      <c r="A2" s="29"/>
      <c r="B2" s="56"/>
      <c r="C2" s="29"/>
      <c r="D2" s="33"/>
      <c r="E2" s="29"/>
      <c r="F2" s="29"/>
      <c r="G2" s="31"/>
      <c r="H2" s="27" t="s">
        <v>23</v>
      </c>
      <c r="I2" s="27" t="s">
        <v>26</v>
      </c>
      <c r="J2" s="27" t="s">
        <v>21</v>
      </c>
      <c r="K2" s="27" t="s">
        <v>28</v>
      </c>
      <c r="L2" s="27" t="s">
        <v>31</v>
      </c>
      <c r="M2" s="9" t="s">
        <v>7</v>
      </c>
      <c r="N2" s="9" t="s">
        <v>8</v>
      </c>
      <c r="O2" s="32"/>
      <c r="P2" s="8" t="s">
        <v>29</v>
      </c>
    </row>
    <row r="3" spans="1:21" x14ac:dyDescent="0.45">
      <c r="A3" s="36" t="s">
        <v>12</v>
      </c>
      <c r="B3" t="s">
        <v>32</v>
      </c>
      <c r="C3" s="13">
        <v>40269</v>
      </c>
      <c r="D3">
        <v>100</v>
      </c>
      <c r="E3" s="38">
        <v>31.41</v>
      </c>
      <c r="F3" s="3">
        <f>[1]!StockQuote(A3)</f>
        <v>46.91</v>
      </c>
      <c r="G3" s="3">
        <f>[1]!StockDiv(A3,C3)</f>
        <v>0</v>
      </c>
      <c r="H3" s="3">
        <v>3141</v>
      </c>
      <c r="I3">
        <v>0.75</v>
      </c>
      <c r="J3" s="35">
        <v>3141.75</v>
      </c>
      <c r="K3" s="35">
        <f>D3*F3</f>
        <v>4691</v>
      </c>
      <c r="L3" s="54">
        <f>F3/E3-1</f>
        <v>0.49347341610951911</v>
      </c>
      <c r="M3" s="37">
        <f>[1]!StockMax(A3,M$1)</f>
        <v>78.440002000000007</v>
      </c>
      <c r="N3" s="37">
        <f>[1]!StockMin(A3,N$1)</f>
        <v>43.75</v>
      </c>
      <c r="O3" s="5">
        <f>[1]!StockVol(A3,1)</f>
        <v>6.6443068857491072E-2</v>
      </c>
      <c r="P3" s="4">
        <f>StockBeta(A3,$P$2,10)</f>
        <v>1.088370310846893</v>
      </c>
    </row>
    <row r="4" spans="1:21" x14ac:dyDescent="0.45">
      <c r="A4" s="36" t="s">
        <v>13</v>
      </c>
      <c r="B4" t="s">
        <v>33</v>
      </c>
      <c r="C4" s="13">
        <v>40269</v>
      </c>
      <c r="D4">
        <v>250</v>
      </c>
      <c r="E4" s="39">
        <v>11.97</v>
      </c>
      <c r="F4" s="37">
        <f>[1]!StockQuote(A4)</f>
        <v>26.84</v>
      </c>
      <c r="G4" s="37">
        <f>[1]!StockDiv(A4,C4)</f>
        <v>0</v>
      </c>
      <c r="H4" s="37">
        <v>2992.5</v>
      </c>
      <c r="I4">
        <v>1.88</v>
      </c>
      <c r="J4" s="35">
        <v>2994.38</v>
      </c>
      <c r="K4" s="35">
        <f t="shared" ref="K4:K12" si="0">D4*F4</f>
        <v>6710</v>
      </c>
      <c r="L4" s="54">
        <f t="shared" ref="L4:L12" si="1">F4/E4-1</f>
        <v>1.2422723475355051</v>
      </c>
      <c r="M4" s="37">
        <f>[1]!StockMax(A4,M$1)</f>
        <v>37.5</v>
      </c>
      <c r="N4" s="37">
        <f>[1]!StockMin(A4,N$1)</f>
        <v>24.459999</v>
      </c>
      <c r="O4" s="5">
        <f>[1]!StockVol(A4,1)</f>
        <v>6.6398863376136069E-2</v>
      </c>
      <c r="P4" s="4">
        <f t="shared" ref="P4:P12" si="2">StockBeta(A4,$P$2,10)</f>
        <v>1.0561522145918423</v>
      </c>
    </row>
    <row r="5" spans="1:21" x14ac:dyDescent="0.45">
      <c r="A5" s="36" t="s">
        <v>14</v>
      </c>
      <c r="B5" t="s">
        <v>34</v>
      </c>
      <c r="C5" s="13">
        <v>40966</v>
      </c>
      <c r="D5">
        <v>50</v>
      </c>
      <c r="E5" s="39">
        <v>63.31</v>
      </c>
      <c r="F5" s="37">
        <f>[1]!StockQuote(A5)</f>
        <v>48.07</v>
      </c>
      <c r="G5" s="37">
        <f>[1]!StockDiv(A5,C5)</f>
        <v>5.7349999999999994</v>
      </c>
      <c r="H5" s="37">
        <v>3165.5</v>
      </c>
      <c r="I5">
        <v>0.5</v>
      </c>
      <c r="J5" s="35">
        <v>3166</v>
      </c>
      <c r="K5" s="35">
        <f t="shared" si="0"/>
        <v>2403.5</v>
      </c>
      <c r="L5" s="54">
        <f t="shared" si="1"/>
        <v>-0.2407202653609225</v>
      </c>
      <c r="M5" s="37">
        <f>[1]!StockMax(A5,M$1)</f>
        <v>74.089995999999999</v>
      </c>
      <c r="N5" s="37">
        <f>[1]!StockMin(A5,N$1)</f>
        <v>44.389999000000003</v>
      </c>
      <c r="O5" s="5">
        <f>[1]!StockVol(A5,1)</f>
        <v>6.6656530436966607E-2</v>
      </c>
      <c r="P5" s="4">
        <f t="shared" si="2"/>
        <v>0.99443639121110994</v>
      </c>
    </row>
    <row r="6" spans="1:21" x14ac:dyDescent="0.45">
      <c r="A6" s="36" t="s">
        <v>15</v>
      </c>
      <c r="B6" t="s">
        <v>35</v>
      </c>
      <c r="C6" s="13">
        <v>41380</v>
      </c>
      <c r="D6">
        <v>82</v>
      </c>
      <c r="E6" s="39">
        <v>36.85</v>
      </c>
      <c r="F6" s="37">
        <f>[1]!StockQuote(A6)</f>
        <v>19.450001</v>
      </c>
      <c r="G6" s="37">
        <f>[1]!StockDiv(A6,C6)</f>
        <v>0</v>
      </c>
      <c r="H6" s="37">
        <v>3021.7</v>
      </c>
      <c r="I6">
        <v>0.62</v>
      </c>
      <c r="J6" s="35">
        <v>3022.32</v>
      </c>
      <c r="K6" s="35">
        <f t="shared" si="0"/>
        <v>1594.9000820000001</v>
      </c>
      <c r="L6" s="54">
        <f t="shared" si="1"/>
        <v>-0.47218450474898233</v>
      </c>
      <c r="M6" s="37">
        <f>[1]!StockMax(A6,M$1)</f>
        <v>21</v>
      </c>
      <c r="N6" s="37">
        <f>[1]!StockMin(A6,N$1)</f>
        <v>13.97</v>
      </c>
      <c r="O6" s="5">
        <f>[1]!StockVol(A6,1)</f>
        <v>6.6733018302156319E-2</v>
      </c>
      <c r="P6" s="4">
        <f t="shared" si="2"/>
        <v>1.014898372507711</v>
      </c>
    </row>
    <row r="7" spans="1:21" x14ac:dyDescent="0.45">
      <c r="A7" s="36" t="s">
        <v>16</v>
      </c>
      <c r="B7" t="s">
        <v>36</v>
      </c>
      <c r="C7" s="13">
        <v>41550</v>
      </c>
      <c r="D7">
        <v>30</v>
      </c>
      <c r="E7" s="39">
        <v>99.81</v>
      </c>
      <c r="F7" s="37">
        <f>[1]!StockQuote(A7)</f>
        <v>17.850000000000001</v>
      </c>
      <c r="G7" s="37">
        <f>[1]!StockDiv(A7,C7)</f>
        <v>0</v>
      </c>
      <c r="H7" s="37">
        <v>2994.3</v>
      </c>
      <c r="I7">
        <v>0.15</v>
      </c>
      <c r="J7" s="35">
        <v>2994.45</v>
      </c>
      <c r="K7" s="35">
        <f t="shared" si="0"/>
        <v>535.5</v>
      </c>
      <c r="L7" s="54">
        <f t="shared" si="1"/>
        <v>-0.82116020438833781</v>
      </c>
      <c r="M7" s="37">
        <f>[1]!StockMax(A7,M$1)</f>
        <v>82.790001000000004</v>
      </c>
      <c r="N7" s="37">
        <f>[1]!StockMin(A7,N$1)</f>
        <v>16.260000000000002</v>
      </c>
      <c r="O7" s="5">
        <f>[1]!StockVol(A7,1)</f>
        <v>7.7666081795351935E-2</v>
      </c>
      <c r="P7" s="4">
        <f t="shared" si="2"/>
        <v>1.0735437590367749</v>
      </c>
    </row>
    <row r="8" spans="1:21" x14ac:dyDescent="0.45">
      <c r="A8" s="36" t="s">
        <v>17</v>
      </c>
      <c r="B8" t="s">
        <v>37</v>
      </c>
      <c r="C8" s="13">
        <v>41967</v>
      </c>
      <c r="D8">
        <v>334</v>
      </c>
      <c r="E8" s="39">
        <v>8.9</v>
      </c>
      <c r="F8" s="37">
        <f>[1]!StockQuote(A8)</f>
        <v>6.03</v>
      </c>
      <c r="G8" s="37">
        <f>[1]!StockDiv(A8,C8)</f>
        <v>0.2</v>
      </c>
      <c r="H8" s="37">
        <v>2972.6</v>
      </c>
      <c r="I8">
        <v>1.67</v>
      </c>
      <c r="J8" s="35">
        <v>2974.27</v>
      </c>
      <c r="K8" s="35">
        <f t="shared" si="0"/>
        <v>2014.02</v>
      </c>
      <c r="L8" s="54">
        <f t="shared" si="1"/>
        <v>-0.32247191011235954</v>
      </c>
      <c r="M8" s="37">
        <f>[1]!StockMax(A8,M$1)</f>
        <v>10.01</v>
      </c>
      <c r="N8" s="37">
        <f>[1]!StockMin(A8,N$1)</f>
        <v>4.6500000000000004</v>
      </c>
      <c r="O8" s="5">
        <f>[1]!StockVol(A8,1)</f>
        <v>7.3887332118961493E-2</v>
      </c>
      <c r="P8" s="4">
        <f t="shared" si="2"/>
        <v>1.0556277727216195</v>
      </c>
      <c r="U8" s="2"/>
    </row>
    <row r="9" spans="1:21" x14ac:dyDescent="0.45">
      <c r="A9" s="36" t="s">
        <v>18</v>
      </c>
      <c r="B9" t="s">
        <v>38</v>
      </c>
      <c r="C9" s="13">
        <v>42033</v>
      </c>
      <c r="D9">
        <v>145</v>
      </c>
      <c r="E9" s="39">
        <v>20.75</v>
      </c>
      <c r="F9" s="37">
        <f>[1]!StockQuote(A9)</f>
        <v>35.919998</v>
      </c>
      <c r="G9" s="37">
        <f>[1]!StockDiv(A9,C9)</f>
        <v>0.23</v>
      </c>
      <c r="H9" s="37">
        <v>3008.03</v>
      </c>
      <c r="I9">
        <v>1.0900000000000001</v>
      </c>
      <c r="J9" s="35">
        <v>3009.12</v>
      </c>
      <c r="K9" s="35">
        <f t="shared" si="0"/>
        <v>5208.3997099999997</v>
      </c>
      <c r="L9" s="54">
        <f t="shared" si="1"/>
        <v>0.73108424096385538</v>
      </c>
      <c r="M9" s="37">
        <f>[1]!StockMax(A9,M$1)</f>
        <v>39.93</v>
      </c>
      <c r="N9" s="37">
        <f>[1]!StockMin(A9,N$1)</f>
        <v>20.25</v>
      </c>
      <c r="O9" s="5">
        <f>[1]!StockVol(A9,1)</f>
        <v>6.5100481778004121E-2</v>
      </c>
      <c r="P9" s="4">
        <f t="shared" si="2"/>
        <v>0.97179945905979481</v>
      </c>
      <c r="U9" s="3"/>
    </row>
    <row r="10" spans="1:21" x14ac:dyDescent="0.45">
      <c r="A10" s="48" t="s">
        <v>19</v>
      </c>
      <c r="B10" t="s">
        <v>39</v>
      </c>
      <c r="C10" s="49">
        <v>42054</v>
      </c>
      <c r="D10" s="34">
        <v>95</v>
      </c>
      <c r="E10" s="50">
        <v>31.81</v>
      </c>
      <c r="F10" s="51">
        <f>[1]!StockQuote(A10)</f>
        <v>11.07</v>
      </c>
      <c r="G10" s="51">
        <f>[1]!StockDiv(A10,C10)</f>
        <v>0</v>
      </c>
      <c r="H10" s="51">
        <v>3021.95</v>
      </c>
      <c r="I10" s="52">
        <v>0</v>
      </c>
      <c r="J10" s="53">
        <v>3021.95</v>
      </c>
      <c r="K10" s="53">
        <f t="shared" si="0"/>
        <v>1051.6500000000001</v>
      </c>
      <c r="L10" s="54">
        <f t="shared" si="1"/>
        <v>-0.6519962276013832</v>
      </c>
      <c r="M10" s="37">
        <f>[1]!StockMax(A10,M$1)</f>
        <v>32.840000000000003</v>
      </c>
      <c r="N10" s="37">
        <f>[1]!StockMin(A10,N$1)</f>
        <v>9.31</v>
      </c>
      <c r="O10" s="5">
        <f>[1]!StockVol(A10,1)</f>
        <v>7.1365757433568752E-2</v>
      </c>
      <c r="P10" s="4">
        <f t="shared" si="2"/>
        <v>1.1890762477224781</v>
      </c>
      <c r="U10" s="3"/>
    </row>
    <row r="11" spans="1:21" x14ac:dyDescent="0.45">
      <c r="A11" s="48" t="s">
        <v>20</v>
      </c>
      <c r="B11" t="s">
        <v>40</v>
      </c>
      <c r="C11" s="49">
        <v>42257</v>
      </c>
      <c r="D11" s="52">
        <v>30</v>
      </c>
      <c r="E11" s="50">
        <v>102.6</v>
      </c>
      <c r="F11" s="51">
        <f>[1]!StockQuote(A11)</f>
        <v>96.900002000000001</v>
      </c>
      <c r="G11" s="51">
        <f>[1]!StockDiv(A11,C11)</f>
        <v>0.71</v>
      </c>
      <c r="H11" s="51">
        <v>3078</v>
      </c>
      <c r="I11" s="52">
        <v>0.15</v>
      </c>
      <c r="J11" s="53">
        <v>3078.15</v>
      </c>
      <c r="K11" s="53">
        <f t="shared" si="0"/>
        <v>2907.0000599999998</v>
      </c>
      <c r="L11" s="54">
        <f t="shared" si="1"/>
        <v>-5.5555536062378064E-2</v>
      </c>
      <c r="M11" s="37">
        <f>[1]!StockMax(A11,M$1)</f>
        <v>122.08000199999999</v>
      </c>
      <c r="N11" s="37">
        <f>[1]!StockMin(A11,N$1)</f>
        <v>90</v>
      </c>
      <c r="O11" s="5">
        <f>[1]!StockVol(A11,1)</f>
        <v>6.4799553225883877E-2</v>
      </c>
      <c r="P11" s="4">
        <f t="shared" si="2"/>
        <v>0.98255365045830045</v>
      </c>
      <c r="U11" s="3"/>
    </row>
    <row r="12" spans="1:21" ht="14.65" thickBot="1" x14ac:dyDescent="0.5">
      <c r="A12" s="41" t="s">
        <v>10</v>
      </c>
      <c r="B12" s="43" t="s">
        <v>41</v>
      </c>
      <c r="C12" s="42">
        <v>42269</v>
      </c>
      <c r="D12" s="43">
        <v>91</v>
      </c>
      <c r="E12" s="44">
        <v>33.31</v>
      </c>
      <c r="F12" s="45">
        <f>[1]!StockQuote(A12)</f>
        <v>10.83</v>
      </c>
      <c r="G12" s="45">
        <f>[1]!StockDiv(A12,C12)</f>
        <v>0</v>
      </c>
      <c r="H12" s="45">
        <v>3031.21</v>
      </c>
      <c r="I12" s="43">
        <v>0.46</v>
      </c>
      <c r="J12" s="46">
        <v>3031.67</v>
      </c>
      <c r="K12" s="46">
        <f t="shared" si="0"/>
        <v>985.53</v>
      </c>
      <c r="L12" s="55">
        <f t="shared" si="1"/>
        <v>-0.67487241068748127</v>
      </c>
      <c r="M12" s="45">
        <f>[1]!StockMax(A12,M$1)</f>
        <v>65.489998</v>
      </c>
      <c r="N12" s="45">
        <f>[1]!StockMin(A12,N$1)</f>
        <v>9.9</v>
      </c>
      <c r="O12" s="57">
        <f>[1]!StockVol(A12,1)</f>
        <v>7.5828763147339578E-2</v>
      </c>
      <c r="P12" s="47">
        <f t="shared" si="2"/>
        <v>1.0005249999988832</v>
      </c>
      <c r="U12" s="3"/>
    </row>
    <row r="13" spans="1:21" x14ac:dyDescent="0.45">
      <c r="A13" s="40" t="s">
        <v>24</v>
      </c>
      <c r="B13" s="40"/>
      <c r="C13" s="7"/>
      <c r="H13" s="58">
        <f>SUM(H3:H12)</f>
        <v>30426.789999999997</v>
      </c>
      <c r="I13" s="58">
        <f>SUM(I3:I12)</f>
        <v>7.2700000000000005</v>
      </c>
      <c r="J13" s="59">
        <f>H13+I13</f>
        <v>30434.059999999998</v>
      </c>
      <c r="K13" s="59">
        <f>SUM(K3:K12)</f>
        <v>28101.499852000001</v>
      </c>
      <c r="L13" s="60">
        <f>K13/J13-1</f>
        <v>-7.6643081731454732E-2</v>
      </c>
      <c r="M13" s="3">
        <f>SUMPRODUCT($D$3:$D$12,M3:M12)</f>
        <v>47004.179908000006</v>
      </c>
      <c r="N13" s="3">
        <f>SUMPRODUCT($D$3:$D$12,N3:N12)</f>
        <v>23317.539700000005</v>
      </c>
    </row>
    <row r="14" spans="1:21" x14ac:dyDescent="0.45">
      <c r="A14" s="10"/>
      <c r="B14" s="10"/>
      <c r="C14" s="7"/>
    </row>
    <row r="15" spans="1:21" x14ac:dyDescent="0.45">
      <c r="A15" s="10"/>
      <c r="B15" s="10"/>
      <c r="C15" s="7"/>
    </row>
    <row r="16" spans="1:21" x14ac:dyDescent="0.45">
      <c r="A16" s="10"/>
      <c r="B16" s="10"/>
      <c r="C16" s="7"/>
    </row>
    <row r="17" spans="1:3" x14ac:dyDescent="0.45">
      <c r="A17" s="10"/>
      <c r="B17" s="10"/>
      <c r="C17" s="7"/>
    </row>
    <row r="18" spans="1:3" x14ac:dyDescent="0.45">
      <c r="A18" s="10"/>
      <c r="B18" s="10"/>
      <c r="C18" s="7"/>
    </row>
    <row r="19" spans="1:3" x14ac:dyDescent="0.45">
      <c r="A19" s="10"/>
      <c r="B19" s="10"/>
      <c r="C19" s="7"/>
    </row>
    <row r="20" spans="1:3" x14ac:dyDescent="0.45">
      <c r="A20" s="10"/>
      <c r="B20" s="10"/>
      <c r="C20" s="7"/>
    </row>
    <row r="21" spans="1:3" x14ac:dyDescent="0.45">
      <c r="A21" s="10"/>
      <c r="B21" s="10"/>
      <c r="C21" s="7"/>
    </row>
    <row r="22" spans="1:3" x14ac:dyDescent="0.45">
      <c r="A22" s="10"/>
      <c r="B22" s="10"/>
      <c r="C22" s="7"/>
    </row>
    <row r="23" spans="1:3" x14ac:dyDescent="0.45">
      <c r="A23" s="10"/>
      <c r="B23" s="10"/>
      <c r="C23" s="7"/>
    </row>
    <row r="24" spans="1:3" x14ac:dyDescent="0.45">
      <c r="A24" s="10"/>
      <c r="B24" s="10"/>
      <c r="C24" s="7"/>
    </row>
    <row r="25" spans="1:3" x14ac:dyDescent="0.45">
      <c r="C25" s="7"/>
    </row>
  </sheetData>
  <mergeCells count="8">
    <mergeCell ref="F1:F2"/>
    <mergeCell ref="G1:G2"/>
    <mergeCell ref="O1:O2"/>
    <mergeCell ref="D1:D2"/>
    <mergeCell ref="A1:A2"/>
    <mergeCell ref="C1:C2"/>
    <mergeCell ref="E1:E2"/>
    <mergeCell ref="B1:B2"/>
  </mergeCells>
  <conditionalFormatting sqref="L3:L12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L3:L12">
    <cfRule type="iconSet" priority="5">
      <iconSet iconSet="3Arrows">
        <cfvo type="percent" val="0"/>
        <cfvo type="num" val="0"/>
        <cfvo type="num" val="0" gte="0"/>
      </iconSet>
    </cfRule>
    <cfRule type="iconSet" priority="6">
      <iconSet iconSet="3Arrows">
        <cfvo type="percent" val="0"/>
        <cfvo type="percent" val="0"/>
        <cfvo type="percent" val="0" gte="0"/>
      </iconSet>
    </cfRule>
  </conditionalFormatting>
  <conditionalFormatting sqref="L13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L13">
    <cfRule type="iconSet" priority="1">
      <iconSet iconSet="3Arrows">
        <cfvo type="percent" val="0"/>
        <cfvo type="num" val="0"/>
        <cfvo type="num" val="0" gte="0"/>
      </iconSet>
    </cfRule>
    <cfRule type="iconSet" priority="2">
      <iconSet iconSet="3Arrows">
        <cfvo type="percent" val="0"/>
        <cfvo type="percent" val="0"/>
        <cfvo type="percent" val="0" gte="0"/>
      </iconSet>
    </cfRule>
  </conditionalFormatting>
  <pageMargins left="0.7" right="0.7" top="0.75" bottom="0.75" header="0.3" footer="0.3"/>
  <pageSetup paperSize="0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2FBFF3C9-5002-4C5C-B743-4387738A4DF2}">
            <x14:iconSet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L3:L12</xm:sqref>
        </x14:conditionalFormatting>
        <x14:conditionalFormatting xmlns:xm="http://schemas.microsoft.com/office/excel/2006/main">
          <x14:cfRule type="iconSet" priority="3" id="{98ECA65F-90E1-467E-AFCC-1D0119C9085E}">
            <x14:iconSet custom="1">
              <x14:cfvo type="percent">
                <xm:f>0</xm:f>
              </x14:cfvo>
              <x14:cfvo type="percent">
                <xm:f>0</xm:f>
              </x14:cfvo>
              <x14:cfvo type="percent" gte="0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L13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54"/>
  <sheetViews>
    <sheetView tabSelected="1" zoomScaleNormal="100" workbookViewId="0">
      <selection activeCell="G18" sqref="G18"/>
    </sheetView>
  </sheetViews>
  <sheetFormatPr defaultRowHeight="14.25" x14ac:dyDescent="0.45"/>
  <cols>
    <col min="1" max="1" width="8.19921875" bestFit="1" customWidth="1"/>
    <col min="2" max="2" width="6.796875" customWidth="1"/>
    <col min="3" max="3" width="7.46484375" customWidth="1"/>
    <col min="4" max="9" width="7.46484375" bestFit="1" customWidth="1"/>
    <col min="10" max="10" width="7.46484375" customWidth="1"/>
    <col min="11" max="11" width="7.46484375" bestFit="1" customWidth="1"/>
    <col min="12" max="12" width="9.9296875" bestFit="1" customWidth="1"/>
    <col min="13" max="13" width="3.796875" customWidth="1"/>
    <col min="20" max="20" width="9.06640625" customWidth="1"/>
    <col min="21" max="21" width="9.9296875" bestFit="1" customWidth="1"/>
    <col min="22" max="22" width="6.796875" bestFit="1" customWidth="1"/>
    <col min="23" max="23" width="8.796875" bestFit="1" customWidth="1"/>
  </cols>
  <sheetData>
    <row r="1" spans="1:23" ht="14.65" thickBot="1" x14ac:dyDescent="0.5">
      <c r="A1" s="16" t="s">
        <v>0</v>
      </c>
      <c r="B1" s="18">
        <f t="array" ref="B1:K1">TRANSPOSE(Stocks!D3:D12)</f>
        <v>100</v>
      </c>
      <c r="C1" s="18">
        <v>250</v>
      </c>
      <c r="D1" s="18">
        <v>50</v>
      </c>
      <c r="E1" s="18">
        <v>82</v>
      </c>
      <c r="F1" s="18">
        <v>30</v>
      </c>
      <c r="G1" s="18">
        <v>334</v>
      </c>
      <c r="H1" s="18">
        <v>145</v>
      </c>
      <c r="I1" s="18">
        <v>95</v>
      </c>
      <c r="J1" s="18">
        <v>30</v>
      </c>
      <c r="K1" s="18">
        <v>91</v>
      </c>
    </row>
    <row r="2" spans="1:23" ht="14.65" thickBot="1" x14ac:dyDescent="0.5">
      <c r="A2">
        <v>365</v>
      </c>
      <c r="B2" s="63" t="str">
        <f t="array" ref="B2:K2">TRANSPOSE(Stocks!A3:A12)</f>
        <v>AKAM</v>
      </c>
      <c r="C2" s="63" t="str">
        <v>ARRS</v>
      </c>
      <c r="D2" s="63" t="str">
        <v>QCOM</v>
      </c>
      <c r="E2" s="63" t="str">
        <v>UTEK</v>
      </c>
      <c r="F2" s="63" t="str">
        <v>SSYS</v>
      </c>
      <c r="G2" s="63" t="str">
        <v>SFUN</v>
      </c>
      <c r="H2" s="63" t="str">
        <v>ATVI</v>
      </c>
      <c r="I2" s="63" t="str">
        <v>MU</v>
      </c>
      <c r="J2" s="63" t="str">
        <v>DIS</v>
      </c>
      <c r="K2" s="63" t="str">
        <v>GPRO</v>
      </c>
      <c r="L2" s="17" t="s">
        <v>11</v>
      </c>
      <c r="M2" s="19"/>
      <c r="U2" s="21"/>
      <c r="V2" s="19" t="str">
        <f>Stocks!P2</f>
        <v>^IXIC</v>
      </c>
      <c r="W2" s="23"/>
    </row>
    <row r="3" spans="1:23" x14ac:dyDescent="0.45">
      <c r="A3" s="22">
        <f t="array" ref="A3:A253">TRANSPOSE(StockDays(A2))</f>
        <v>42391</v>
      </c>
      <c r="B3" s="14">
        <f t="array" ref="B3:B253">TRANSPOSE(StockPrices(B2,$A$2))</f>
        <v>46.91</v>
      </c>
      <c r="C3" s="14">
        <f t="array" ref="C3:C253">TRANSPOSE(StockPrices(C2,$A$2))</f>
        <v>26.84</v>
      </c>
      <c r="D3" s="14">
        <f t="array" ref="D3:D253">TRANSPOSE(StockPrices(D2,$A$2))</f>
        <v>48.07</v>
      </c>
      <c r="E3" s="14">
        <f t="array" ref="E3:E253">TRANSPOSE(StockPrices(E2,$A$2))</f>
        <v>19.450001</v>
      </c>
      <c r="F3" s="14">
        <f t="array" ref="F3:F253">TRANSPOSE(StockPrices(F2,$A$2))</f>
        <v>17.850000000000001</v>
      </c>
      <c r="G3" s="14">
        <f t="array" ref="G3:G253">TRANSPOSE(StockPrices(G2,$A$2))</f>
        <v>6.03</v>
      </c>
      <c r="H3" s="14">
        <f t="array" ref="H3:H253">TRANSPOSE(StockPrices(H2,$A$2))</f>
        <v>35.919998</v>
      </c>
      <c r="I3" s="14">
        <f t="array" ref="I3:I253">TRANSPOSE(StockPrices(I2,$A$2))</f>
        <v>11.07</v>
      </c>
      <c r="J3" s="14">
        <f t="array" ref="J3:J253">TRANSPOSE(StockPrices(J2,$A$2))</f>
        <v>96.900002000000001</v>
      </c>
      <c r="K3" s="14">
        <f t="array" ref="K3:K253">TRANSPOSE(StockPrices(K2,$A$2))</f>
        <v>10.83</v>
      </c>
      <c r="L3" s="62">
        <f>SUMPRODUCT($B$1:$K$1,B3:K3)</f>
        <v>28101.499852000001</v>
      </c>
      <c r="U3" s="20"/>
      <c r="V3" s="24">
        <f t="array" ref="V3:V253">TRANSPOSE(StockPrices(V2,A2))</f>
        <v>4591.1801759999998</v>
      </c>
      <c r="W3" s="61">
        <f>V3*$W$254</f>
        <v>34516.393185102723</v>
      </c>
    </row>
    <row r="4" spans="1:23" x14ac:dyDescent="0.45">
      <c r="A4" s="22">
        <v>42390</v>
      </c>
      <c r="B4" s="15">
        <v>46.209999000000003</v>
      </c>
      <c r="C4" s="15">
        <v>25.98</v>
      </c>
      <c r="D4" s="15">
        <v>47.049999</v>
      </c>
      <c r="E4" s="15">
        <v>18.75</v>
      </c>
      <c r="F4" s="15">
        <v>18.07</v>
      </c>
      <c r="G4" s="15">
        <v>5.8</v>
      </c>
      <c r="H4" s="15">
        <v>34.560001</v>
      </c>
      <c r="I4" s="15">
        <v>10.85</v>
      </c>
      <c r="J4" s="15">
        <v>94.019997000000004</v>
      </c>
      <c r="K4" s="15">
        <v>10.68</v>
      </c>
      <c r="L4" s="61">
        <f t="shared" ref="L4:L67" si="0">SUMPRODUCT($B$1:$K$1,B4:K4)</f>
        <v>27319.729905</v>
      </c>
      <c r="V4" s="25">
        <v>4472.0600590000004</v>
      </c>
      <c r="W4" s="61">
        <f t="shared" ref="W4:W67" si="1">V4*$W$254</f>
        <v>33620.850723902782</v>
      </c>
    </row>
    <row r="5" spans="1:23" x14ac:dyDescent="0.45">
      <c r="A5" s="22">
        <v>42389</v>
      </c>
      <c r="B5" s="15">
        <v>46.110000999999997</v>
      </c>
      <c r="C5" s="15">
        <v>26.469999000000001</v>
      </c>
      <c r="D5" s="15">
        <v>45.93</v>
      </c>
      <c r="E5" s="15">
        <v>18.260000000000002</v>
      </c>
      <c r="F5" s="15">
        <v>17.209999</v>
      </c>
      <c r="G5" s="15">
        <v>5.97</v>
      </c>
      <c r="H5" s="15">
        <v>34.709999000000003</v>
      </c>
      <c r="I5" s="15">
        <v>10.050000000000001</v>
      </c>
      <c r="J5" s="15">
        <v>92.540001000000004</v>
      </c>
      <c r="K5" s="15">
        <v>11</v>
      </c>
      <c r="L5" s="61">
        <f t="shared" si="0"/>
        <v>27297.499705000002</v>
      </c>
      <c r="U5" s="13"/>
      <c r="V5" s="25">
        <v>4471.6899409999996</v>
      </c>
      <c r="W5" s="61">
        <f t="shared" si="1"/>
        <v>33618.068184790136</v>
      </c>
    </row>
    <row r="6" spans="1:23" x14ac:dyDescent="0.45">
      <c r="A6" s="22">
        <v>42388</v>
      </c>
      <c r="B6" s="15">
        <v>45.439999</v>
      </c>
      <c r="C6" s="15">
        <v>26.040001</v>
      </c>
      <c r="D6" s="15">
        <v>46.09</v>
      </c>
      <c r="E6" s="15">
        <v>17.950001</v>
      </c>
      <c r="F6" s="15">
        <v>17.59</v>
      </c>
      <c r="G6" s="15">
        <v>6.01</v>
      </c>
      <c r="H6" s="15">
        <v>35.150002000000001</v>
      </c>
      <c r="I6" s="15">
        <v>10.8</v>
      </c>
      <c r="J6" s="15">
        <v>93.970000999999996</v>
      </c>
      <c r="K6" s="15">
        <v>10.57</v>
      </c>
      <c r="L6" s="61">
        <f t="shared" si="0"/>
        <v>27269.160552000001</v>
      </c>
      <c r="V6" s="25">
        <v>4476.9501950000003</v>
      </c>
      <c r="W6" s="61">
        <f t="shared" si="1"/>
        <v>33657.614660501684</v>
      </c>
    </row>
    <row r="7" spans="1:23" x14ac:dyDescent="0.45">
      <c r="A7" s="22">
        <v>42384</v>
      </c>
      <c r="B7" s="15">
        <v>44.150002000000001</v>
      </c>
      <c r="C7" s="15">
        <v>26.42</v>
      </c>
      <c r="D7" s="15">
        <v>45.82</v>
      </c>
      <c r="E7" s="15">
        <v>18.329999999999998</v>
      </c>
      <c r="F7" s="15">
        <v>18.670000000000002</v>
      </c>
      <c r="G7" s="15">
        <v>5.65</v>
      </c>
      <c r="H7" s="15">
        <v>34.909999999999997</v>
      </c>
      <c r="I7" s="15">
        <v>11.08</v>
      </c>
      <c r="J7" s="15">
        <v>93.900002000000001</v>
      </c>
      <c r="K7" s="15">
        <v>11.46</v>
      </c>
      <c r="L7" s="61">
        <f t="shared" si="0"/>
        <v>27235.670259999999</v>
      </c>
      <c r="V7" s="25">
        <v>4488.419922</v>
      </c>
      <c r="W7" s="61">
        <f t="shared" si="1"/>
        <v>33743.843819820519</v>
      </c>
    </row>
    <row r="8" spans="1:23" x14ac:dyDescent="0.45">
      <c r="A8" s="22">
        <v>42383</v>
      </c>
      <c r="B8" s="15">
        <v>46.91</v>
      </c>
      <c r="C8" s="15">
        <v>28.01</v>
      </c>
      <c r="D8" s="15">
        <v>47.73</v>
      </c>
      <c r="E8" s="15">
        <v>18.809999000000001</v>
      </c>
      <c r="F8" s="15">
        <v>19.120000999999998</v>
      </c>
      <c r="G8" s="15">
        <v>5.92</v>
      </c>
      <c r="H8" s="15">
        <v>35.400002000000001</v>
      </c>
      <c r="I8" s="15">
        <v>12.02</v>
      </c>
      <c r="J8" s="15">
        <v>99.110000999999997</v>
      </c>
      <c r="K8" s="15">
        <v>12.48</v>
      </c>
      <c r="L8" s="61">
        <f t="shared" si="0"/>
        <v>28557.180268</v>
      </c>
      <c r="V8" s="25">
        <v>4615</v>
      </c>
      <c r="W8" s="61">
        <f t="shared" si="1"/>
        <v>34695.470106344408</v>
      </c>
    </row>
    <row r="9" spans="1:23" x14ac:dyDescent="0.45">
      <c r="A9" s="22">
        <v>42382</v>
      </c>
      <c r="B9" s="15">
        <v>45.82</v>
      </c>
      <c r="C9" s="15">
        <v>26.73</v>
      </c>
      <c r="D9" s="15">
        <v>46.099997999999999</v>
      </c>
      <c r="E9" s="15">
        <v>17.91</v>
      </c>
      <c r="F9" s="15">
        <v>19.52</v>
      </c>
      <c r="G9" s="15">
        <v>5.78</v>
      </c>
      <c r="H9" s="15">
        <v>34.860000999999997</v>
      </c>
      <c r="I9" s="15">
        <v>12.06</v>
      </c>
      <c r="J9" s="15">
        <v>98.480002999999996</v>
      </c>
      <c r="K9" s="15">
        <v>14.61</v>
      </c>
      <c r="L9" s="61">
        <f t="shared" si="0"/>
        <v>28038.550134999998</v>
      </c>
      <c r="V9" s="25">
        <v>4526.0600590000004</v>
      </c>
      <c r="W9" s="61">
        <f t="shared" si="1"/>
        <v>34026.821555049602</v>
      </c>
    </row>
    <row r="10" spans="1:23" x14ac:dyDescent="0.45">
      <c r="A10" s="22">
        <v>42381</v>
      </c>
      <c r="B10" s="15">
        <v>46.880001</v>
      </c>
      <c r="C10" s="15">
        <v>27.120000999999998</v>
      </c>
      <c r="D10" s="15">
        <v>46.52</v>
      </c>
      <c r="E10" s="15">
        <v>18.09</v>
      </c>
      <c r="F10" s="15">
        <v>20.57</v>
      </c>
      <c r="G10" s="15">
        <v>6.19</v>
      </c>
      <c r="H10" s="15">
        <v>37.119999</v>
      </c>
      <c r="I10" s="15">
        <v>12.72</v>
      </c>
      <c r="J10" s="15">
        <v>101.459999</v>
      </c>
      <c r="K10" s="15">
        <v>14.6</v>
      </c>
      <c r="L10" s="61">
        <f t="shared" si="0"/>
        <v>28925.140175</v>
      </c>
      <c r="V10" s="25">
        <v>4685.919922</v>
      </c>
      <c r="W10" s="61">
        <f t="shared" si="1"/>
        <v>35228.644544848263</v>
      </c>
    </row>
    <row r="11" spans="1:23" x14ac:dyDescent="0.45">
      <c r="A11" s="22">
        <v>42380</v>
      </c>
      <c r="B11" s="15">
        <v>45.459999000000003</v>
      </c>
      <c r="C11" s="15">
        <v>26.790001</v>
      </c>
      <c r="D11" s="15">
        <v>46.07</v>
      </c>
      <c r="E11" s="15">
        <v>18.350000000000001</v>
      </c>
      <c r="F11" s="15">
        <v>21</v>
      </c>
      <c r="G11" s="15">
        <v>6.31</v>
      </c>
      <c r="H11" s="15">
        <v>36.209999000000003</v>
      </c>
      <c r="I11" s="15">
        <v>12.53</v>
      </c>
      <c r="J11" s="15">
        <v>99.919998000000007</v>
      </c>
      <c r="K11" s="15">
        <v>15.26</v>
      </c>
      <c r="L11" s="61">
        <f t="shared" si="0"/>
        <v>28616.299945000002</v>
      </c>
      <c r="V11" s="25">
        <v>4637.9902339999999</v>
      </c>
      <c r="W11" s="61">
        <f t="shared" si="1"/>
        <v>34868.310187922929</v>
      </c>
    </row>
    <row r="12" spans="1:23" x14ac:dyDescent="0.45">
      <c r="A12" s="22">
        <v>42377</v>
      </c>
      <c r="B12" s="15">
        <v>48.099997999999999</v>
      </c>
      <c r="C12" s="15">
        <v>27.32</v>
      </c>
      <c r="D12" s="15">
        <v>45.880001</v>
      </c>
      <c r="E12" s="15">
        <v>18.75</v>
      </c>
      <c r="F12" s="15">
        <v>21.77</v>
      </c>
      <c r="G12" s="15">
        <v>6.46</v>
      </c>
      <c r="H12" s="15">
        <v>35.709999000000003</v>
      </c>
      <c r="I12" s="15">
        <v>13.33</v>
      </c>
      <c r="J12" s="15">
        <v>99.25</v>
      </c>
      <c r="K12" s="15">
        <v>16.190000999999999</v>
      </c>
      <c r="L12" s="61">
        <f t="shared" si="0"/>
        <v>29177.329796000002</v>
      </c>
      <c r="V12" s="25">
        <v>4643.6298829999996</v>
      </c>
      <c r="W12" s="61">
        <f t="shared" si="1"/>
        <v>34910.708947032304</v>
      </c>
    </row>
    <row r="13" spans="1:23" x14ac:dyDescent="0.45">
      <c r="A13" s="22">
        <v>42376</v>
      </c>
      <c r="B13" s="15">
        <v>48.189999</v>
      </c>
      <c r="C13" s="15">
        <v>28.209999</v>
      </c>
      <c r="D13" s="15">
        <v>46.139999000000003</v>
      </c>
      <c r="E13" s="15">
        <v>19.290001</v>
      </c>
      <c r="F13" s="15">
        <v>22.440000999999999</v>
      </c>
      <c r="G13" s="15">
        <v>6.37</v>
      </c>
      <c r="H13" s="15">
        <v>36.270000000000003</v>
      </c>
      <c r="I13" s="15">
        <v>13.66</v>
      </c>
      <c r="J13" s="15">
        <v>99.5</v>
      </c>
      <c r="K13" s="15">
        <v>17</v>
      </c>
      <c r="L13" s="61">
        <f t="shared" si="0"/>
        <v>29649.909712000004</v>
      </c>
      <c r="V13" s="25">
        <v>4689.4301759999998</v>
      </c>
      <c r="W13" s="61">
        <f t="shared" si="1"/>
        <v>35255.034558439307</v>
      </c>
    </row>
    <row r="14" spans="1:23" x14ac:dyDescent="0.45">
      <c r="A14" s="22">
        <v>42375</v>
      </c>
      <c r="B14" s="15">
        <v>50.48</v>
      </c>
      <c r="C14" s="15">
        <v>29.110001</v>
      </c>
      <c r="D14" s="15">
        <v>48.639999000000003</v>
      </c>
      <c r="E14" s="15">
        <v>19.629999000000002</v>
      </c>
      <c r="F14" s="15">
        <v>23.610001</v>
      </c>
      <c r="G14" s="15">
        <v>6.57</v>
      </c>
      <c r="H14" s="15">
        <v>36.790000999999997</v>
      </c>
      <c r="I14" s="15">
        <v>14.22</v>
      </c>
      <c r="J14" s="15">
        <v>100.360001</v>
      </c>
      <c r="K14" s="15">
        <v>18.41</v>
      </c>
      <c r="L14" s="61">
        <f t="shared" si="0"/>
        <v>30641.400323000005</v>
      </c>
      <c r="V14" s="25">
        <v>4835.7597660000001</v>
      </c>
      <c r="W14" s="61">
        <f t="shared" si="1"/>
        <v>36355.137248692532</v>
      </c>
    </row>
    <row r="15" spans="1:23" x14ac:dyDescent="0.45">
      <c r="A15" s="22">
        <v>42374</v>
      </c>
      <c r="B15" s="15">
        <v>52.02</v>
      </c>
      <c r="C15" s="15">
        <v>30.52</v>
      </c>
      <c r="D15" s="15">
        <v>49.139999000000003</v>
      </c>
      <c r="E15" s="15">
        <v>19.84</v>
      </c>
      <c r="F15" s="15">
        <v>24.559999000000001</v>
      </c>
      <c r="G15" s="15">
        <v>6.94</v>
      </c>
      <c r="H15" s="15">
        <v>37.139999000000003</v>
      </c>
      <c r="I15" s="15">
        <v>14.82</v>
      </c>
      <c r="J15" s="15">
        <v>100.900002</v>
      </c>
      <c r="K15" s="15">
        <v>18.489999999999998</v>
      </c>
      <c r="L15" s="61">
        <f t="shared" si="0"/>
        <v>31473.429835000003</v>
      </c>
      <c r="V15" s="25">
        <v>4891.4301759999998</v>
      </c>
      <c r="W15" s="61">
        <f t="shared" si="1"/>
        <v>36773.666186062612</v>
      </c>
    </row>
    <row r="16" spans="1:23" x14ac:dyDescent="0.45">
      <c r="A16" s="22">
        <v>42373</v>
      </c>
      <c r="B16" s="15">
        <v>52.310001</v>
      </c>
      <c r="C16" s="15">
        <v>30.4</v>
      </c>
      <c r="D16" s="15">
        <v>50.119999</v>
      </c>
      <c r="E16" s="15">
        <v>19.420000000000002</v>
      </c>
      <c r="F16" s="15">
        <v>24.549999</v>
      </c>
      <c r="G16" s="15">
        <v>6.76</v>
      </c>
      <c r="H16" s="15">
        <v>37.619999</v>
      </c>
      <c r="I16" s="15">
        <v>14.33</v>
      </c>
      <c r="J16" s="15">
        <v>102.980003</v>
      </c>
      <c r="K16" s="15">
        <v>18.690000999999999</v>
      </c>
      <c r="L16" s="61">
        <f t="shared" si="0"/>
        <v>31530.220055999998</v>
      </c>
      <c r="V16" s="25">
        <v>4903.0898440000001</v>
      </c>
      <c r="W16" s="61">
        <f t="shared" si="1"/>
        <v>36861.323317708098</v>
      </c>
    </row>
    <row r="17" spans="1:23" x14ac:dyDescent="0.45">
      <c r="A17" s="22">
        <v>42369</v>
      </c>
      <c r="B17" s="15">
        <v>52.630001</v>
      </c>
      <c r="C17" s="15">
        <v>30.57</v>
      </c>
      <c r="D17" s="15">
        <v>49.990001999999997</v>
      </c>
      <c r="E17" s="15">
        <v>19.82</v>
      </c>
      <c r="F17" s="15">
        <v>23.48</v>
      </c>
      <c r="G17" s="15">
        <v>7.39</v>
      </c>
      <c r="H17" s="15">
        <v>38.709999000000003</v>
      </c>
      <c r="I17" s="15">
        <v>14.16</v>
      </c>
      <c r="J17" s="15">
        <v>105.08000199999999</v>
      </c>
      <c r="K17" s="15">
        <v>18.010000000000002</v>
      </c>
      <c r="L17" s="61">
        <f t="shared" si="0"/>
        <v>31952.360115000003</v>
      </c>
      <c r="V17" s="25">
        <v>5007.4101559999999</v>
      </c>
      <c r="W17" s="61">
        <f t="shared" si="1"/>
        <v>37645.601165266176</v>
      </c>
    </row>
    <row r="18" spans="1:23" x14ac:dyDescent="0.45">
      <c r="A18" s="22">
        <v>42368</v>
      </c>
      <c r="B18" s="15">
        <v>52.900002000000001</v>
      </c>
      <c r="C18" s="15">
        <v>30.83</v>
      </c>
      <c r="D18" s="15">
        <v>50.41</v>
      </c>
      <c r="E18" s="15">
        <v>19.98</v>
      </c>
      <c r="F18" s="15">
        <v>23.98</v>
      </c>
      <c r="G18" s="15">
        <v>7.15</v>
      </c>
      <c r="H18" s="15">
        <v>39.43</v>
      </c>
      <c r="I18" s="15">
        <v>14.16</v>
      </c>
      <c r="J18" s="15">
        <v>106.339996</v>
      </c>
      <c r="K18" s="15">
        <v>18.399999999999999</v>
      </c>
      <c r="L18" s="61">
        <f t="shared" si="0"/>
        <v>32191.010080000004</v>
      </c>
      <c r="V18" s="25">
        <v>5065.8500979999999</v>
      </c>
      <c r="W18" s="61">
        <f t="shared" si="1"/>
        <v>38084.951384264547</v>
      </c>
    </row>
    <row r="19" spans="1:23" x14ac:dyDescent="0.45">
      <c r="A19" s="22">
        <v>42367</v>
      </c>
      <c r="B19" s="15">
        <v>53.330002</v>
      </c>
      <c r="C19" s="15">
        <v>30.709999</v>
      </c>
      <c r="D19" s="15">
        <v>50.880001</v>
      </c>
      <c r="E19" s="15">
        <v>19.889999</v>
      </c>
      <c r="F19" s="15">
        <v>24.809999000000001</v>
      </c>
      <c r="G19" s="15">
        <v>7.52</v>
      </c>
      <c r="H19" s="15">
        <v>39.580002</v>
      </c>
      <c r="I19" s="15">
        <v>14.34</v>
      </c>
      <c r="J19" s="15">
        <v>107.08000199999999</v>
      </c>
      <c r="K19" s="15">
        <v>18.280000999999999</v>
      </c>
      <c r="L19" s="61">
        <f t="shared" si="0"/>
        <v>32418.740329</v>
      </c>
      <c r="V19" s="25">
        <v>5107.9399409999996</v>
      </c>
      <c r="W19" s="61">
        <f t="shared" si="1"/>
        <v>38401.38191288583</v>
      </c>
    </row>
    <row r="20" spans="1:23" x14ac:dyDescent="0.45">
      <c r="A20" s="22">
        <v>42366</v>
      </c>
      <c r="B20" s="15">
        <v>53.18</v>
      </c>
      <c r="C20" s="15">
        <v>29.940000999999999</v>
      </c>
      <c r="D20" s="15">
        <v>49.580002</v>
      </c>
      <c r="E20" s="15">
        <v>20.010000000000002</v>
      </c>
      <c r="F20" s="15">
        <v>25.18</v>
      </c>
      <c r="G20" s="15">
        <v>7.4</v>
      </c>
      <c r="H20" s="15">
        <v>39.029998999999997</v>
      </c>
      <c r="I20" s="15">
        <v>14.19</v>
      </c>
      <c r="J20" s="15">
        <v>107.25</v>
      </c>
      <c r="K20" s="15">
        <v>17.920000000000002</v>
      </c>
      <c r="L20" s="61">
        <f t="shared" si="0"/>
        <v>32005.440205000003</v>
      </c>
      <c r="V20" s="25">
        <v>5040.9902339999999</v>
      </c>
      <c r="W20" s="61">
        <f t="shared" si="1"/>
        <v>37898.05546481497</v>
      </c>
    </row>
    <row r="21" spans="1:23" x14ac:dyDescent="0.45">
      <c r="A21" s="22">
        <v>42362</v>
      </c>
      <c r="B21" s="15">
        <v>53.040000999999997</v>
      </c>
      <c r="C21" s="15">
        <v>29.780000999999999</v>
      </c>
      <c r="D21" s="15">
        <v>49.549999</v>
      </c>
      <c r="E21" s="15">
        <v>20.299999</v>
      </c>
      <c r="F21" s="15">
        <v>26.790001</v>
      </c>
      <c r="G21" s="15">
        <v>7.47</v>
      </c>
      <c r="H21" s="15">
        <v>38.919998</v>
      </c>
      <c r="I21" s="15">
        <v>14.48</v>
      </c>
      <c r="J21" s="15">
        <v>105.860001</v>
      </c>
      <c r="K21" s="15">
        <v>18.219999000000001</v>
      </c>
      <c r="L21" s="61">
        <f t="shared" si="0"/>
        <v>32042.599896999996</v>
      </c>
      <c r="V21" s="25">
        <v>5048.4902339999999</v>
      </c>
      <c r="W21" s="61">
        <f t="shared" si="1"/>
        <v>37954.440302474257</v>
      </c>
    </row>
    <row r="22" spans="1:23" x14ac:dyDescent="0.45">
      <c r="A22" s="22">
        <v>42361</v>
      </c>
      <c r="B22" s="15">
        <v>53.25</v>
      </c>
      <c r="C22" s="15">
        <v>29.41</v>
      </c>
      <c r="D22" s="15">
        <v>49.040000999999997</v>
      </c>
      <c r="E22" s="15">
        <v>19.950001</v>
      </c>
      <c r="F22" s="15">
        <v>26.780000999999999</v>
      </c>
      <c r="G22" s="15">
        <v>7.38</v>
      </c>
      <c r="H22" s="15">
        <v>38.840000000000003</v>
      </c>
      <c r="I22" s="15">
        <v>14.3</v>
      </c>
      <c r="J22" s="15">
        <v>105.55999799999999</v>
      </c>
      <c r="K22" s="15">
        <v>18.27</v>
      </c>
      <c r="L22" s="61">
        <f t="shared" si="0"/>
        <v>31853.390101999998</v>
      </c>
      <c r="V22" s="25">
        <v>5045.9301759999998</v>
      </c>
      <c r="W22" s="61">
        <f t="shared" si="1"/>
        <v>37935.193841843808</v>
      </c>
    </row>
    <row r="23" spans="1:23" x14ac:dyDescent="0.45">
      <c r="A23" s="22">
        <v>42360</v>
      </c>
      <c r="B23" s="15">
        <v>52.98</v>
      </c>
      <c r="C23" s="15">
        <v>29.610001</v>
      </c>
      <c r="D23" s="15">
        <v>49.07</v>
      </c>
      <c r="E23" s="15">
        <v>19.670000000000002</v>
      </c>
      <c r="F23" s="15">
        <v>25.52</v>
      </c>
      <c r="G23" s="15">
        <v>7.26</v>
      </c>
      <c r="H23" s="15">
        <v>39.209999000000003</v>
      </c>
      <c r="I23" s="15">
        <v>14.61</v>
      </c>
      <c r="J23" s="15">
        <v>106.739998</v>
      </c>
      <c r="K23" s="15">
        <v>18.34</v>
      </c>
      <c r="L23" s="61">
        <f t="shared" si="0"/>
        <v>31901.920044999999</v>
      </c>
      <c r="V23" s="25">
        <v>5001.1098629999997</v>
      </c>
      <c r="W23" s="61">
        <f t="shared" si="1"/>
        <v>37598.235698864715</v>
      </c>
    </row>
    <row r="24" spans="1:23" x14ac:dyDescent="0.45">
      <c r="A24" s="22">
        <v>42359</v>
      </c>
      <c r="B24" s="15">
        <v>52.68</v>
      </c>
      <c r="C24" s="15">
        <v>29.629999000000002</v>
      </c>
      <c r="D24" s="15">
        <v>48.759998000000003</v>
      </c>
      <c r="E24" s="15">
        <v>18.889999</v>
      </c>
      <c r="F24" s="15">
        <v>24.99</v>
      </c>
      <c r="G24" s="15">
        <v>7.31</v>
      </c>
      <c r="H24" s="15">
        <v>38.740001999999997</v>
      </c>
      <c r="I24" s="15">
        <v>14.77</v>
      </c>
      <c r="J24" s="15">
        <v>106.589996</v>
      </c>
      <c r="K24" s="15">
        <v>18.100000000000001</v>
      </c>
      <c r="L24" s="61">
        <f t="shared" si="0"/>
        <v>31718.969738</v>
      </c>
      <c r="V24" s="25">
        <v>4968.919922</v>
      </c>
      <c r="W24" s="61">
        <f t="shared" si="1"/>
        <v>37356.232419191809</v>
      </c>
    </row>
    <row r="25" spans="1:23" x14ac:dyDescent="0.45">
      <c r="A25" s="22">
        <v>42356</v>
      </c>
      <c r="B25" s="15">
        <v>52.32</v>
      </c>
      <c r="C25" s="15">
        <v>29.280000999999999</v>
      </c>
      <c r="D25" s="15">
        <v>47.43</v>
      </c>
      <c r="E25" s="15">
        <v>18.629999000000002</v>
      </c>
      <c r="F25" s="15">
        <v>25.82</v>
      </c>
      <c r="G25" s="15">
        <v>7.19</v>
      </c>
      <c r="H25" s="15">
        <v>38.470001000000003</v>
      </c>
      <c r="I25" s="15">
        <v>14.36</v>
      </c>
      <c r="J25" s="15">
        <v>107.720001</v>
      </c>
      <c r="K25" s="15">
        <v>19.5</v>
      </c>
      <c r="L25" s="61">
        <f t="shared" si="0"/>
        <v>31575.670343000002</v>
      </c>
      <c r="V25" s="25">
        <v>4923.080078</v>
      </c>
      <c r="W25" s="61">
        <f t="shared" si="1"/>
        <v>37011.6094642229</v>
      </c>
    </row>
    <row r="26" spans="1:23" x14ac:dyDescent="0.45">
      <c r="A26" s="22">
        <v>42355</v>
      </c>
      <c r="B26" s="15">
        <v>52.59</v>
      </c>
      <c r="C26" s="15">
        <v>29.860001</v>
      </c>
      <c r="D26" s="15">
        <v>47.540000999999997</v>
      </c>
      <c r="E26" s="15">
        <v>18.32</v>
      </c>
      <c r="F26" s="15">
        <v>25.85</v>
      </c>
      <c r="G26" s="15">
        <v>7.07</v>
      </c>
      <c r="H26" s="15">
        <v>38.869999</v>
      </c>
      <c r="I26" s="15">
        <v>14.32</v>
      </c>
      <c r="J26" s="15">
        <v>112.010002</v>
      </c>
      <c r="K26" s="15">
        <v>17.950001</v>
      </c>
      <c r="L26" s="61">
        <f t="shared" si="0"/>
        <v>31730.420306000004</v>
      </c>
      <c r="V26" s="25">
        <v>5002.5498049999997</v>
      </c>
      <c r="W26" s="61">
        <f t="shared" si="1"/>
        <v>37609.061151652553</v>
      </c>
    </row>
    <row r="27" spans="1:23" x14ac:dyDescent="0.45">
      <c r="A27" s="22">
        <v>42354</v>
      </c>
      <c r="B27" s="15">
        <v>53.279998999999997</v>
      </c>
      <c r="C27" s="15">
        <v>30.200001</v>
      </c>
      <c r="D27" s="15">
        <v>48.07</v>
      </c>
      <c r="E27" s="15">
        <v>17.98</v>
      </c>
      <c r="F27" s="15">
        <v>24.879999000000002</v>
      </c>
      <c r="G27" s="15">
        <v>7.2</v>
      </c>
      <c r="H27" s="15">
        <v>39.209999000000003</v>
      </c>
      <c r="I27" s="15">
        <v>14.07</v>
      </c>
      <c r="J27" s="15">
        <v>113.790001</v>
      </c>
      <c r="K27" s="15">
        <v>18.82</v>
      </c>
      <c r="L27" s="61">
        <f t="shared" si="0"/>
        <v>32055.480005000001</v>
      </c>
      <c r="V27" s="25">
        <v>5071.1298829999996</v>
      </c>
      <c r="W27" s="61">
        <f t="shared" si="1"/>
        <v>38124.644693611335</v>
      </c>
    </row>
    <row r="28" spans="1:23" x14ac:dyDescent="0.45">
      <c r="A28" s="22">
        <v>42353</v>
      </c>
      <c r="B28" s="15">
        <v>51.759998000000003</v>
      </c>
      <c r="C28" s="15">
        <v>30.379999000000002</v>
      </c>
      <c r="D28" s="15">
        <v>48.02</v>
      </c>
      <c r="E28" s="15">
        <v>17.709999</v>
      </c>
      <c r="F28" s="15">
        <v>24.610001</v>
      </c>
      <c r="G28" s="15">
        <v>6.91</v>
      </c>
      <c r="H28" s="15">
        <v>38.709999000000003</v>
      </c>
      <c r="I28" s="15">
        <v>14.18</v>
      </c>
      <c r="J28" s="15">
        <v>112.160004</v>
      </c>
      <c r="K28" s="15">
        <v>17.91</v>
      </c>
      <c r="L28" s="61">
        <f t="shared" si="0"/>
        <v>31625.119472999995</v>
      </c>
      <c r="V28" s="25">
        <v>4995.3598629999997</v>
      </c>
      <c r="W28" s="61">
        <f t="shared" si="1"/>
        <v>37555.007323325932</v>
      </c>
    </row>
    <row r="29" spans="1:23" x14ac:dyDescent="0.45">
      <c r="A29" s="22">
        <v>42352</v>
      </c>
      <c r="B29" s="15">
        <v>51.080002</v>
      </c>
      <c r="C29" s="15">
        <v>30.52</v>
      </c>
      <c r="D29" s="15">
        <v>46.830002</v>
      </c>
      <c r="E29" s="15">
        <v>17.629999000000002</v>
      </c>
      <c r="F29" s="15">
        <v>23.52</v>
      </c>
      <c r="G29" s="15">
        <v>6.74</v>
      </c>
      <c r="H29" s="15">
        <v>37.959999000000003</v>
      </c>
      <c r="I29" s="15">
        <v>13.66</v>
      </c>
      <c r="J29" s="15">
        <v>109.349998</v>
      </c>
      <c r="K29" s="15">
        <v>17.309999000000001</v>
      </c>
      <c r="L29" s="61">
        <f t="shared" si="0"/>
        <v>31139.529922000002</v>
      </c>
      <c r="V29" s="25">
        <v>4952.2299800000001</v>
      </c>
      <c r="W29" s="61">
        <f t="shared" si="1"/>
        <v>37230.757796496764</v>
      </c>
    </row>
    <row r="30" spans="1:23" x14ac:dyDescent="0.45">
      <c r="A30" s="22">
        <v>42349</v>
      </c>
      <c r="B30" s="15">
        <v>51.810001</v>
      </c>
      <c r="C30" s="15">
        <v>30.65</v>
      </c>
      <c r="D30" s="15">
        <v>47.459999000000003</v>
      </c>
      <c r="E30" s="15">
        <v>18.059999000000001</v>
      </c>
      <c r="F30" s="15">
        <v>24.26</v>
      </c>
      <c r="G30" s="15">
        <v>6.72</v>
      </c>
      <c r="H30" s="15">
        <v>37.220001000000003</v>
      </c>
      <c r="I30" s="15">
        <v>14.04</v>
      </c>
      <c r="J30" s="15">
        <v>108.040001</v>
      </c>
      <c r="K30" s="15">
        <v>19.149999999999999</v>
      </c>
      <c r="L30" s="61">
        <f t="shared" si="0"/>
        <v>31384.250143000001</v>
      </c>
      <c r="V30" s="25">
        <v>4933.4702150000003</v>
      </c>
      <c r="W30" s="61">
        <f t="shared" si="1"/>
        <v>37089.72228928993</v>
      </c>
    </row>
    <row r="31" spans="1:23" x14ac:dyDescent="0.45">
      <c r="A31" s="22">
        <v>42348</v>
      </c>
      <c r="B31" s="15">
        <v>53.700001</v>
      </c>
      <c r="C31" s="15">
        <v>31.51</v>
      </c>
      <c r="D31" s="15">
        <v>48.57</v>
      </c>
      <c r="E31" s="15">
        <v>18.139999</v>
      </c>
      <c r="F31" s="15">
        <v>25.58</v>
      </c>
      <c r="G31" s="15">
        <v>6.9</v>
      </c>
      <c r="H31" s="15">
        <v>38.380001</v>
      </c>
      <c r="I31" s="15">
        <v>14.66</v>
      </c>
      <c r="J31" s="15">
        <v>110.760002</v>
      </c>
      <c r="K31" s="15">
        <v>18.829999999999998</v>
      </c>
      <c r="L31" s="61">
        <f t="shared" si="0"/>
        <v>32229.610223000003</v>
      </c>
      <c r="V31" s="25">
        <v>5045.169922</v>
      </c>
      <c r="W31" s="61">
        <f t="shared" si="1"/>
        <v>37929.478268727835</v>
      </c>
    </row>
    <row r="32" spans="1:23" x14ac:dyDescent="0.45">
      <c r="A32" s="22">
        <v>42347</v>
      </c>
      <c r="B32" s="15">
        <v>53.27</v>
      </c>
      <c r="C32" s="15">
        <v>31.51</v>
      </c>
      <c r="D32" s="15">
        <v>48.59</v>
      </c>
      <c r="E32" s="15">
        <v>17.309999000000001</v>
      </c>
      <c r="F32" s="15">
        <v>24.91</v>
      </c>
      <c r="G32" s="15">
        <v>7.14</v>
      </c>
      <c r="H32" s="15">
        <v>38.590000000000003</v>
      </c>
      <c r="I32" s="15">
        <v>14.32</v>
      </c>
      <c r="J32" s="15">
        <v>110.760003</v>
      </c>
      <c r="K32" s="15">
        <v>16.889999</v>
      </c>
      <c r="L32" s="61">
        <f t="shared" si="0"/>
        <v>32001.219916999999</v>
      </c>
      <c r="V32" s="25">
        <v>5022.8701170000004</v>
      </c>
      <c r="W32" s="61">
        <f t="shared" si="1"/>
        <v>37761.828817426685</v>
      </c>
    </row>
    <row r="33" spans="1:23" x14ac:dyDescent="0.45">
      <c r="A33" s="22">
        <v>42346</v>
      </c>
      <c r="B33" s="15">
        <v>55.099997999999999</v>
      </c>
      <c r="C33" s="15">
        <v>31.799999</v>
      </c>
      <c r="D33" s="15">
        <v>49.48</v>
      </c>
      <c r="E33" s="15">
        <v>17.370000999999998</v>
      </c>
      <c r="F33" s="15">
        <v>24.75</v>
      </c>
      <c r="G33" s="15">
        <v>7.08</v>
      </c>
      <c r="H33" s="15">
        <v>39.360000999999997</v>
      </c>
      <c r="I33" s="15">
        <v>14.6</v>
      </c>
      <c r="J33" s="15">
        <v>111.763572</v>
      </c>
      <c r="K33" s="15">
        <v>17.579999999999998</v>
      </c>
      <c r="L33" s="61">
        <f t="shared" si="0"/>
        <v>32512.446936999997</v>
      </c>
      <c r="V33" s="25">
        <v>5098.2402339999999</v>
      </c>
      <c r="W33" s="61">
        <f t="shared" si="1"/>
        <v>38328.459725614157</v>
      </c>
    </row>
    <row r="34" spans="1:23" x14ac:dyDescent="0.45">
      <c r="A34" s="22">
        <v>42345</v>
      </c>
      <c r="B34" s="15">
        <v>55.709999000000003</v>
      </c>
      <c r="C34" s="15">
        <v>32.009998000000003</v>
      </c>
      <c r="D34" s="15">
        <v>52.43</v>
      </c>
      <c r="E34" s="15">
        <v>17.41</v>
      </c>
      <c r="F34" s="15">
        <v>24.530000999999999</v>
      </c>
      <c r="G34" s="15">
        <v>7.01</v>
      </c>
      <c r="H34" s="15">
        <v>38.689999</v>
      </c>
      <c r="I34" s="15">
        <v>14.85</v>
      </c>
      <c r="J34" s="15">
        <v>113.104972</v>
      </c>
      <c r="K34" s="15">
        <v>17.510000000000002</v>
      </c>
      <c r="L34" s="61">
        <f t="shared" si="0"/>
        <v>32707.218445000002</v>
      </c>
      <c r="V34" s="25">
        <v>5101.8100590000004</v>
      </c>
      <c r="W34" s="61">
        <f t="shared" si="1"/>
        <v>38355.297592693765</v>
      </c>
    </row>
    <row r="35" spans="1:23" x14ac:dyDescent="0.45">
      <c r="A35" s="22">
        <v>42342</v>
      </c>
      <c r="B35" s="15">
        <v>56.619999</v>
      </c>
      <c r="C35" s="15">
        <v>32.669998</v>
      </c>
      <c r="D35" s="15">
        <v>52.34</v>
      </c>
      <c r="E35" s="15">
        <v>17.450001</v>
      </c>
      <c r="F35" s="15">
        <v>25.09</v>
      </c>
      <c r="G35" s="15">
        <v>6.8</v>
      </c>
      <c r="H35" s="15">
        <v>38.889999000000003</v>
      </c>
      <c r="I35" s="15">
        <v>15.5</v>
      </c>
      <c r="J35" s="15">
        <v>113.512356</v>
      </c>
      <c r="K35" s="15">
        <v>18</v>
      </c>
      <c r="L35" s="61">
        <f t="shared" si="0"/>
        <v>33056.220017</v>
      </c>
      <c r="V35" s="25">
        <v>5142.2700199999999</v>
      </c>
      <c r="W35" s="61">
        <f t="shared" si="1"/>
        <v>38659.474703718537</v>
      </c>
    </row>
    <row r="36" spans="1:23" x14ac:dyDescent="0.45">
      <c r="A36" s="22">
        <v>42341</v>
      </c>
      <c r="B36" s="15">
        <v>54.810001</v>
      </c>
      <c r="C36" s="15">
        <v>31.99</v>
      </c>
      <c r="D36" s="15">
        <v>51.400002000000001</v>
      </c>
      <c r="E36" s="15">
        <v>17.010000000000002</v>
      </c>
      <c r="F36" s="15">
        <v>25.120000999999998</v>
      </c>
      <c r="G36" s="15">
        <v>7.05</v>
      </c>
      <c r="H36" s="15">
        <v>37.619999</v>
      </c>
      <c r="I36" s="15">
        <v>15.61</v>
      </c>
      <c r="J36" s="15">
        <v>111.17732599999999</v>
      </c>
      <c r="K36" s="15">
        <v>18.93</v>
      </c>
      <c r="L36" s="61">
        <f t="shared" si="0"/>
        <v>32547.419865000007</v>
      </c>
      <c r="V36" s="25">
        <v>5037.5297849999997</v>
      </c>
      <c r="W36" s="61">
        <f t="shared" si="1"/>
        <v>37872.039884135876</v>
      </c>
    </row>
    <row r="37" spans="1:23" x14ac:dyDescent="0.45">
      <c r="A37" s="22">
        <v>42340</v>
      </c>
      <c r="B37" s="15">
        <v>56.07</v>
      </c>
      <c r="C37" s="15">
        <v>32.270000000000003</v>
      </c>
      <c r="D37" s="15">
        <v>51.849997999999999</v>
      </c>
      <c r="E37" s="15">
        <v>17.049999</v>
      </c>
      <c r="F37" s="15">
        <v>24.99</v>
      </c>
      <c r="G37" s="15">
        <v>7.24</v>
      </c>
      <c r="H37" s="15">
        <v>38.380001</v>
      </c>
      <c r="I37" s="15">
        <v>15.82</v>
      </c>
      <c r="J37" s="15">
        <v>113.273887</v>
      </c>
      <c r="K37" s="15">
        <v>20.09</v>
      </c>
      <c r="L37" s="61">
        <f t="shared" si="0"/>
        <v>33127.366572999999</v>
      </c>
      <c r="V37" s="25">
        <v>5123.2202150000003</v>
      </c>
      <c r="W37" s="61">
        <f t="shared" si="1"/>
        <v>38516.258682069747</v>
      </c>
    </row>
    <row r="38" spans="1:23" x14ac:dyDescent="0.45">
      <c r="A38" s="22">
        <v>42339</v>
      </c>
      <c r="B38" s="15">
        <v>57.66</v>
      </c>
      <c r="C38" s="15">
        <v>31.110001</v>
      </c>
      <c r="D38" s="15">
        <v>49.299999</v>
      </c>
      <c r="E38" s="15">
        <v>16.700001</v>
      </c>
      <c r="F38" s="15">
        <v>24.67</v>
      </c>
      <c r="G38" s="15">
        <v>6.83</v>
      </c>
      <c r="H38" s="15">
        <v>38.57</v>
      </c>
      <c r="I38" s="15">
        <v>16.549999</v>
      </c>
      <c r="J38" s="15">
        <v>114.655033</v>
      </c>
      <c r="K38" s="15">
        <v>20.129999000000002</v>
      </c>
      <c r="L38" s="61">
        <f t="shared" si="0"/>
        <v>32835.601086000002</v>
      </c>
      <c r="V38" s="25">
        <v>5156.3100590000004</v>
      </c>
      <c r="W38" s="61">
        <f t="shared" si="1"/>
        <v>38765.027413017873</v>
      </c>
    </row>
    <row r="39" spans="1:23" x14ac:dyDescent="0.45">
      <c r="A39" s="22">
        <v>42338</v>
      </c>
      <c r="B39" s="15">
        <v>57.610000999999997</v>
      </c>
      <c r="C39" s="15">
        <v>30.57</v>
      </c>
      <c r="D39" s="15">
        <v>48.790000999999997</v>
      </c>
      <c r="E39" s="15">
        <v>16.610001</v>
      </c>
      <c r="F39" s="15">
        <v>25</v>
      </c>
      <c r="G39" s="15">
        <v>6.7</v>
      </c>
      <c r="H39" s="15">
        <v>37.659999999999997</v>
      </c>
      <c r="I39" s="15">
        <v>15.93</v>
      </c>
      <c r="J39" s="15">
        <v>112.747264</v>
      </c>
      <c r="K39" s="15">
        <v>20.399999999999999</v>
      </c>
      <c r="L39" s="61">
        <f t="shared" si="0"/>
        <v>32405.688151999999</v>
      </c>
      <c r="V39" s="25">
        <v>5108.669922</v>
      </c>
      <c r="W39" s="61">
        <f t="shared" si="1"/>
        <v>38406.869894243078</v>
      </c>
    </row>
    <row r="40" spans="1:23" x14ac:dyDescent="0.45">
      <c r="A40" s="22">
        <v>42335</v>
      </c>
      <c r="B40" s="15">
        <v>57.900002000000001</v>
      </c>
      <c r="C40" s="15">
        <v>30.459999</v>
      </c>
      <c r="D40" s="15">
        <v>48.540000999999997</v>
      </c>
      <c r="E40" s="15">
        <v>16.510000000000002</v>
      </c>
      <c r="F40" s="15">
        <v>24.379999000000002</v>
      </c>
      <c r="G40" s="15">
        <v>6.73</v>
      </c>
      <c r="H40" s="15">
        <v>37.240001999999997</v>
      </c>
      <c r="I40" s="15">
        <v>15.56</v>
      </c>
      <c r="J40" s="15">
        <v>114.396687</v>
      </c>
      <c r="K40" s="15">
        <v>20.280000999999999</v>
      </c>
      <c r="L40" s="61">
        <f t="shared" si="0"/>
        <v>32320.420961</v>
      </c>
      <c r="V40" s="25">
        <v>5127.5200199999999</v>
      </c>
      <c r="W40" s="61">
        <f t="shared" si="1"/>
        <v>38548.584522988618</v>
      </c>
    </row>
    <row r="41" spans="1:23" x14ac:dyDescent="0.45">
      <c r="A41" s="22">
        <v>42333</v>
      </c>
      <c r="B41" s="15">
        <v>57.68</v>
      </c>
      <c r="C41" s="15">
        <v>30.52</v>
      </c>
      <c r="D41" s="15">
        <v>48.619996999999998</v>
      </c>
      <c r="E41" s="15">
        <v>16.399999999999999</v>
      </c>
      <c r="F41" s="15">
        <v>25.18</v>
      </c>
      <c r="G41" s="15">
        <v>7.02</v>
      </c>
      <c r="H41" s="15">
        <v>37.229999999999997</v>
      </c>
      <c r="I41" s="15">
        <v>15.58</v>
      </c>
      <c r="J41" s="15">
        <v>117.91414</v>
      </c>
      <c r="K41" s="15">
        <v>20</v>
      </c>
      <c r="L41" s="61">
        <f t="shared" si="0"/>
        <v>32509.75405</v>
      </c>
      <c r="V41" s="25">
        <v>5116.1401370000003</v>
      </c>
      <c r="W41" s="61">
        <f t="shared" si="1"/>
        <v>38463.030808917072</v>
      </c>
    </row>
    <row r="42" spans="1:23" x14ac:dyDescent="0.45">
      <c r="A42" s="22">
        <v>42332</v>
      </c>
      <c r="B42" s="15">
        <v>56.619999</v>
      </c>
      <c r="C42" s="15">
        <v>30.48</v>
      </c>
      <c r="D42" s="15">
        <v>48.926968000000002</v>
      </c>
      <c r="E42" s="15">
        <v>16.299999</v>
      </c>
      <c r="F42" s="15">
        <v>23.75</v>
      </c>
      <c r="G42" s="15">
        <v>6.95</v>
      </c>
      <c r="H42" s="15">
        <v>36.840000000000003</v>
      </c>
      <c r="I42" s="15">
        <v>15.63</v>
      </c>
      <c r="J42" s="15">
        <v>117.198725</v>
      </c>
      <c r="K42" s="15">
        <v>19.32</v>
      </c>
      <c r="L42" s="61">
        <f t="shared" si="0"/>
        <v>32199.479967999992</v>
      </c>
      <c r="V42" s="25">
        <v>5102.8100590000004</v>
      </c>
      <c r="W42" s="61">
        <f t="shared" si="1"/>
        <v>38362.815571048333</v>
      </c>
    </row>
    <row r="43" spans="1:23" x14ac:dyDescent="0.45">
      <c r="A43" s="22">
        <v>42331</v>
      </c>
      <c r="B43" s="15">
        <v>56.950001</v>
      </c>
      <c r="C43" s="15">
        <v>30.5</v>
      </c>
      <c r="D43" s="15">
        <v>48.491270999999998</v>
      </c>
      <c r="E43" s="15">
        <v>16.32</v>
      </c>
      <c r="F43" s="15">
        <v>23.780000999999999</v>
      </c>
      <c r="G43" s="15">
        <v>6.86</v>
      </c>
      <c r="H43" s="15">
        <v>37.349997999999999</v>
      </c>
      <c r="I43" s="15">
        <v>15.32</v>
      </c>
      <c r="J43" s="15">
        <v>118.659363</v>
      </c>
      <c r="K43" s="15">
        <v>18.989999999999998</v>
      </c>
      <c r="L43" s="61">
        <f t="shared" si="0"/>
        <v>32246.464280000004</v>
      </c>
      <c r="V43" s="25">
        <v>5102.4799800000001</v>
      </c>
      <c r="W43" s="61">
        <f t="shared" si="1"/>
        <v>38360.334044271032</v>
      </c>
    </row>
    <row r="44" spans="1:23" x14ac:dyDescent="0.45">
      <c r="A44" s="22">
        <v>42328</v>
      </c>
      <c r="B44" s="15">
        <v>56.919998</v>
      </c>
      <c r="C44" s="15">
        <v>30.389999</v>
      </c>
      <c r="D44" s="15">
        <v>49.134914000000002</v>
      </c>
      <c r="E44" s="15">
        <v>16.309999000000001</v>
      </c>
      <c r="F44" s="15">
        <v>23.08</v>
      </c>
      <c r="G44" s="15">
        <v>6.69</v>
      </c>
      <c r="H44" s="15">
        <v>37.509998000000003</v>
      </c>
      <c r="I44" s="15">
        <v>15.43</v>
      </c>
      <c r="J44" s="15">
        <v>119.305224</v>
      </c>
      <c r="K44" s="15">
        <v>20.450001</v>
      </c>
      <c r="L44" s="61">
        <f t="shared" si="0"/>
        <v>32355.431688999997</v>
      </c>
      <c r="V44" s="25">
        <v>5104.919922</v>
      </c>
      <c r="W44" s="61">
        <f t="shared" si="1"/>
        <v>38378.677475413439</v>
      </c>
    </row>
    <row r="45" spans="1:23" x14ac:dyDescent="0.45">
      <c r="A45" s="22">
        <v>42327</v>
      </c>
      <c r="B45" s="15">
        <v>59.209999000000003</v>
      </c>
      <c r="C45" s="15">
        <v>29.719999000000001</v>
      </c>
      <c r="D45" s="15">
        <v>47.916938999999999</v>
      </c>
      <c r="E45" s="15">
        <v>15.88</v>
      </c>
      <c r="F45" s="15">
        <v>23.129999000000002</v>
      </c>
      <c r="G45" s="15">
        <v>6.59</v>
      </c>
      <c r="H45" s="15">
        <v>37.009998000000003</v>
      </c>
      <c r="I45" s="15">
        <v>15.87</v>
      </c>
      <c r="J45" s="15">
        <v>117.953886</v>
      </c>
      <c r="K45" s="15">
        <v>19.93</v>
      </c>
      <c r="L45" s="61">
        <f t="shared" si="0"/>
        <v>32170.312860000002</v>
      </c>
      <c r="V45" s="25">
        <v>5073.6401370000003</v>
      </c>
      <c r="W45" s="61">
        <f t="shared" si="1"/>
        <v>38143.516728847811</v>
      </c>
    </row>
    <row r="46" spans="1:23" x14ac:dyDescent="0.45">
      <c r="A46" s="22">
        <v>42326</v>
      </c>
      <c r="B46" s="15">
        <v>59.25</v>
      </c>
      <c r="C46" s="15">
        <v>29.07</v>
      </c>
      <c r="D46" s="15">
        <v>47.530752</v>
      </c>
      <c r="E46" s="15">
        <v>15.57</v>
      </c>
      <c r="F46" s="15">
        <v>23.41</v>
      </c>
      <c r="G46" s="15">
        <v>7.11</v>
      </c>
      <c r="H46" s="15">
        <v>36.869999</v>
      </c>
      <c r="I46" s="15">
        <v>15.61</v>
      </c>
      <c r="J46" s="15">
        <v>117.387517</v>
      </c>
      <c r="K46" s="15">
        <v>19.809999000000001</v>
      </c>
      <c r="L46" s="61">
        <f t="shared" si="0"/>
        <v>32076.252874000002</v>
      </c>
      <c r="V46" s="25">
        <v>5075.2001950000003</v>
      </c>
      <c r="W46" s="61">
        <f t="shared" si="1"/>
        <v>38155.245211123693</v>
      </c>
    </row>
    <row r="47" spans="1:23" x14ac:dyDescent="0.45">
      <c r="A47" s="22">
        <v>42325</v>
      </c>
      <c r="B47" s="15">
        <v>58.73</v>
      </c>
      <c r="C47" s="15">
        <v>28.440000999999999</v>
      </c>
      <c r="D47" s="15">
        <v>52.462066999999998</v>
      </c>
      <c r="E47" s="15">
        <v>15.42</v>
      </c>
      <c r="F47" s="15">
        <v>22.58</v>
      </c>
      <c r="G47" s="15">
        <v>7.45</v>
      </c>
      <c r="H47" s="15">
        <v>36.119999</v>
      </c>
      <c r="I47" s="15">
        <v>15.28</v>
      </c>
      <c r="J47" s="15">
        <v>115.390317</v>
      </c>
      <c r="K47" s="15">
        <v>20.870000999999998</v>
      </c>
      <c r="L47" s="61">
        <f t="shared" si="0"/>
        <v>32086.123056</v>
      </c>
      <c r="V47" s="25">
        <v>4986.0200199999999</v>
      </c>
      <c r="W47" s="61">
        <f t="shared" si="1"/>
        <v>37484.790585816845</v>
      </c>
    </row>
    <row r="48" spans="1:23" x14ac:dyDescent="0.45">
      <c r="A48" s="22">
        <v>42324</v>
      </c>
      <c r="B48" s="15">
        <v>59.139999000000003</v>
      </c>
      <c r="C48" s="15">
        <v>28.370000999999998</v>
      </c>
      <c r="D48" s="15">
        <v>52.254120999999998</v>
      </c>
      <c r="E48" s="15">
        <v>15.23</v>
      </c>
      <c r="F48" s="15">
        <v>22.99</v>
      </c>
      <c r="G48" s="15">
        <v>7.62</v>
      </c>
      <c r="H48" s="15">
        <v>34.950001</v>
      </c>
      <c r="I48" s="15">
        <v>14.89</v>
      </c>
      <c r="J48" s="15">
        <v>115.181656</v>
      </c>
      <c r="K48" s="15">
        <v>21.620000999999998</v>
      </c>
      <c r="L48" s="61">
        <f t="shared" si="0"/>
        <v>32008.016115999999</v>
      </c>
      <c r="V48" s="25">
        <v>4984.6201170000004</v>
      </c>
      <c r="W48" s="61">
        <f t="shared" si="1"/>
        <v>37474.266145364352</v>
      </c>
    </row>
    <row r="49" spans="1:23" x14ac:dyDescent="0.45">
      <c r="A49" s="22">
        <v>42321</v>
      </c>
      <c r="B49" s="15">
        <v>58.57</v>
      </c>
      <c r="C49" s="15">
        <v>27.84</v>
      </c>
      <c r="D49" s="15">
        <v>51.432232999999997</v>
      </c>
      <c r="E49" s="15">
        <v>15.23</v>
      </c>
      <c r="F49" s="15">
        <v>22.860001</v>
      </c>
      <c r="G49" s="15">
        <v>7.57</v>
      </c>
      <c r="H49" s="15">
        <v>34.590000000000003</v>
      </c>
      <c r="I49" s="15">
        <v>15</v>
      </c>
      <c r="J49" s="15">
        <v>114.10853299999999</v>
      </c>
      <c r="K49" s="15">
        <v>21.16</v>
      </c>
      <c r="L49" s="61">
        <f t="shared" si="0"/>
        <v>31641.017669999997</v>
      </c>
      <c r="V49" s="25">
        <v>4927.8798829999996</v>
      </c>
      <c r="W49" s="61">
        <f t="shared" si="1"/>
        <v>37047.694294319059</v>
      </c>
    </row>
    <row r="50" spans="1:23" x14ac:dyDescent="0.45">
      <c r="A50" s="22">
        <v>42320</v>
      </c>
      <c r="B50" s="15">
        <v>60.439999</v>
      </c>
      <c r="C50" s="15">
        <v>27.809999000000001</v>
      </c>
      <c r="D50" s="15">
        <v>52.065980000000003</v>
      </c>
      <c r="E50" s="15">
        <v>15.29</v>
      </c>
      <c r="F50" s="15">
        <v>23.370000999999998</v>
      </c>
      <c r="G50" s="15">
        <v>6.98</v>
      </c>
      <c r="H50" s="15">
        <v>35.009998000000003</v>
      </c>
      <c r="I50" s="15">
        <v>15.35</v>
      </c>
      <c r="J50" s="15">
        <v>115.46981</v>
      </c>
      <c r="K50" s="15">
        <v>23.15</v>
      </c>
      <c r="L50" s="61">
        <f t="shared" si="0"/>
        <v>31991.442690000003</v>
      </c>
      <c r="V50" s="25">
        <v>5005.080078</v>
      </c>
      <c r="W50" s="61">
        <f t="shared" si="1"/>
        <v>37628.083689297709</v>
      </c>
    </row>
    <row r="51" spans="1:23" x14ac:dyDescent="0.45">
      <c r="A51" s="22">
        <v>42319</v>
      </c>
      <c r="B51" s="15">
        <v>61.419998</v>
      </c>
      <c r="C51" s="15">
        <v>28.809999000000001</v>
      </c>
      <c r="D51" s="15">
        <v>52.333337</v>
      </c>
      <c r="E51" s="15">
        <v>15.31</v>
      </c>
      <c r="F51" s="15">
        <v>23.969999000000001</v>
      </c>
      <c r="G51" s="15">
        <v>6.78</v>
      </c>
      <c r="H51" s="15">
        <v>34.57</v>
      </c>
      <c r="I51" s="15">
        <v>15.5</v>
      </c>
      <c r="J51" s="15">
        <v>115.777833</v>
      </c>
      <c r="K51" s="15">
        <v>25.1</v>
      </c>
      <c r="L51" s="61">
        <f t="shared" si="0"/>
        <v>32442.791359999999</v>
      </c>
      <c r="V51" s="25">
        <v>5067.0200199999999</v>
      </c>
      <c r="W51" s="61">
        <f t="shared" si="1"/>
        <v>38093.746832537086</v>
      </c>
    </row>
    <row r="52" spans="1:23" x14ac:dyDescent="0.45">
      <c r="A52" s="22">
        <v>42318</v>
      </c>
      <c r="B52" s="15">
        <v>61.650002000000001</v>
      </c>
      <c r="C52" s="15">
        <v>28.719999000000001</v>
      </c>
      <c r="D52" s="15">
        <v>51.759008999999999</v>
      </c>
      <c r="E52" s="15">
        <v>15.4</v>
      </c>
      <c r="F52" s="15">
        <v>25.290001</v>
      </c>
      <c r="G52" s="15">
        <v>6.64</v>
      </c>
      <c r="H52" s="15">
        <v>33.860000999999997</v>
      </c>
      <c r="I52" s="15">
        <v>15.55</v>
      </c>
      <c r="J52" s="15">
        <v>116.672102</v>
      </c>
      <c r="K52" s="15">
        <v>25.02</v>
      </c>
      <c r="L52" s="61">
        <f t="shared" si="0"/>
        <v>32336.143634999997</v>
      </c>
      <c r="V52" s="25">
        <v>5083.2402339999999</v>
      </c>
      <c r="W52" s="61">
        <f t="shared" si="1"/>
        <v>38215.69005029559</v>
      </c>
    </row>
    <row r="53" spans="1:23" x14ac:dyDescent="0.45">
      <c r="A53" s="22">
        <v>42317</v>
      </c>
      <c r="B53" s="15">
        <v>61.830002</v>
      </c>
      <c r="C53" s="15">
        <v>28.48</v>
      </c>
      <c r="D53" s="15">
        <v>52.422457000000001</v>
      </c>
      <c r="E53" s="15">
        <v>15.61</v>
      </c>
      <c r="F53" s="15">
        <v>26.73</v>
      </c>
      <c r="G53" s="15">
        <v>7.09</v>
      </c>
      <c r="H53" s="15">
        <v>34.049999</v>
      </c>
      <c r="I53" s="15">
        <v>15.84</v>
      </c>
      <c r="J53" s="15">
        <v>115.678471</v>
      </c>
      <c r="K53" s="15">
        <v>25.92</v>
      </c>
      <c r="L53" s="61">
        <f t="shared" si="0"/>
        <v>32645.227035</v>
      </c>
      <c r="V53" s="25">
        <v>5095.2998049999997</v>
      </c>
      <c r="W53" s="61">
        <f t="shared" si="1"/>
        <v>38306.353644039002</v>
      </c>
    </row>
    <row r="54" spans="1:23" x14ac:dyDescent="0.45">
      <c r="A54" s="22">
        <v>42314</v>
      </c>
      <c r="B54" s="15">
        <v>62.380001</v>
      </c>
      <c r="C54" s="15">
        <v>28.799999</v>
      </c>
      <c r="D54" s="15">
        <v>52.897764000000002</v>
      </c>
      <c r="E54" s="15">
        <v>16.09</v>
      </c>
      <c r="F54" s="15">
        <v>27.59</v>
      </c>
      <c r="G54" s="15">
        <v>7.36</v>
      </c>
      <c r="H54" s="15">
        <v>35</v>
      </c>
      <c r="I54" s="15">
        <v>16.450001</v>
      </c>
      <c r="J54" s="15">
        <v>114.93324800000001</v>
      </c>
      <c r="K54" s="15">
        <v>25.129999000000002</v>
      </c>
      <c r="L54" s="61">
        <f t="shared" si="0"/>
        <v>33060.785494000003</v>
      </c>
      <c r="V54" s="25">
        <v>5147.1201170000004</v>
      </c>
      <c r="W54" s="61">
        <f t="shared" si="1"/>
        <v>38695.937627982115</v>
      </c>
    </row>
    <row r="55" spans="1:23" x14ac:dyDescent="0.45">
      <c r="A55" s="22">
        <v>42313</v>
      </c>
      <c r="B55" s="15">
        <v>61.700001</v>
      </c>
      <c r="C55" s="15">
        <v>28.360001</v>
      </c>
      <c r="D55" s="15">
        <v>50.570740000000001</v>
      </c>
      <c r="E55" s="15">
        <v>15.7</v>
      </c>
      <c r="F55" s="15">
        <v>27.33</v>
      </c>
      <c r="G55" s="15">
        <v>7.33</v>
      </c>
      <c r="H55" s="15">
        <v>37.360000999999997</v>
      </c>
      <c r="I55" s="15">
        <v>16.510000000000002</v>
      </c>
      <c r="J55" s="15">
        <v>112.28025599999999</v>
      </c>
      <c r="K55" s="15">
        <v>24.809999000000001</v>
      </c>
      <c r="L55" s="61">
        <f t="shared" si="0"/>
        <v>32955.825084000004</v>
      </c>
      <c r="V55" s="25">
        <v>5127.7402339999999</v>
      </c>
      <c r="W55" s="61">
        <f t="shared" si="1"/>
        <v>38550.240087073995</v>
      </c>
    </row>
    <row r="56" spans="1:23" x14ac:dyDescent="0.45">
      <c r="A56" s="22">
        <v>42312</v>
      </c>
      <c r="B56" s="15">
        <v>62.220001000000003</v>
      </c>
      <c r="C56" s="15">
        <v>28.290001</v>
      </c>
      <c r="D56" s="15">
        <v>59.670896999999997</v>
      </c>
      <c r="E56" s="15">
        <v>15.92</v>
      </c>
      <c r="F56" s="15">
        <v>28.67</v>
      </c>
      <c r="G56" s="15">
        <v>7.6</v>
      </c>
      <c r="H56" s="15">
        <v>36.990001999999997</v>
      </c>
      <c r="I56" s="15">
        <v>17.440000999999999</v>
      </c>
      <c r="J56" s="15">
        <v>112.52866400000001</v>
      </c>
      <c r="K56" s="15">
        <v>25.379999000000002</v>
      </c>
      <c r="L56" s="61">
        <f t="shared" si="0"/>
        <v>33687.775413999996</v>
      </c>
      <c r="V56" s="25">
        <v>5142.4799800000001</v>
      </c>
      <c r="W56" s="61">
        <f t="shared" si="1"/>
        <v>38661.053178453869</v>
      </c>
    </row>
    <row r="57" spans="1:23" x14ac:dyDescent="0.45">
      <c r="A57" s="22">
        <v>42311</v>
      </c>
      <c r="B57" s="15">
        <v>63.110000999999997</v>
      </c>
      <c r="C57" s="15">
        <v>28.01</v>
      </c>
      <c r="D57" s="15">
        <v>60.274934000000002</v>
      </c>
      <c r="E57" s="15">
        <v>16.129999000000002</v>
      </c>
      <c r="F57" s="15">
        <v>27.219999000000001</v>
      </c>
      <c r="G57" s="15">
        <v>7.43</v>
      </c>
      <c r="H57" s="15">
        <v>35.82</v>
      </c>
      <c r="I57" s="15">
        <v>17.84</v>
      </c>
      <c r="J57" s="15">
        <v>114.804079</v>
      </c>
      <c r="K57" s="15">
        <v>25.02</v>
      </c>
      <c r="L57" s="61">
        <f t="shared" si="0"/>
        <v>33557.769057999998</v>
      </c>
      <c r="V57" s="25">
        <v>5145.1298829999996</v>
      </c>
      <c r="W57" s="61">
        <f t="shared" si="1"/>
        <v>38680.975091849577</v>
      </c>
    </row>
    <row r="58" spans="1:23" x14ac:dyDescent="0.45">
      <c r="A58" s="22">
        <v>42310</v>
      </c>
      <c r="B58" s="15">
        <v>61.779998999999997</v>
      </c>
      <c r="C58" s="15">
        <v>28.59</v>
      </c>
      <c r="D58" s="15">
        <v>60.047182999999997</v>
      </c>
      <c r="E58" s="15">
        <v>15.69</v>
      </c>
      <c r="F58" s="15">
        <v>26.83</v>
      </c>
      <c r="G58" s="15">
        <v>7.34</v>
      </c>
      <c r="H58" s="15">
        <v>34.57</v>
      </c>
      <c r="I58" s="15">
        <v>17.09</v>
      </c>
      <c r="J58" s="15">
        <v>114.307264</v>
      </c>
      <c r="K58" s="15">
        <v>25.549999</v>
      </c>
      <c r="L58" s="61">
        <f t="shared" si="0"/>
        <v>33261.366879000001</v>
      </c>
      <c r="V58" s="25">
        <v>5127.1499020000001</v>
      </c>
      <c r="W58" s="61">
        <f t="shared" si="1"/>
        <v>38545.801983875986</v>
      </c>
    </row>
    <row r="59" spans="1:23" x14ac:dyDescent="0.45">
      <c r="A59" s="22">
        <v>42307</v>
      </c>
      <c r="B59" s="15">
        <v>60.82</v>
      </c>
      <c r="C59" s="15">
        <v>28.26</v>
      </c>
      <c r="D59" s="15">
        <v>58.839108000000003</v>
      </c>
      <c r="E59" s="15">
        <v>15.63</v>
      </c>
      <c r="F59" s="15">
        <v>25.5</v>
      </c>
      <c r="G59" s="15">
        <v>7.07</v>
      </c>
      <c r="H59" s="15">
        <v>34.759998000000003</v>
      </c>
      <c r="I59" s="15">
        <v>16.559999000000001</v>
      </c>
      <c r="J59" s="15">
        <v>113.015541</v>
      </c>
      <c r="K59" s="15">
        <v>25</v>
      </c>
      <c r="L59" s="61">
        <f t="shared" si="0"/>
        <v>32775.861245000007</v>
      </c>
      <c r="V59" s="25">
        <v>5053.75</v>
      </c>
      <c r="W59" s="61">
        <f t="shared" si="1"/>
        <v>37993.983109412366</v>
      </c>
    </row>
    <row r="60" spans="1:23" x14ac:dyDescent="0.45">
      <c r="A60" s="22">
        <v>42306</v>
      </c>
      <c r="B60" s="15">
        <v>61.110000999999997</v>
      </c>
      <c r="C60" s="15">
        <v>28.08</v>
      </c>
      <c r="D60" s="15">
        <v>59.413440000000001</v>
      </c>
      <c r="E60" s="15">
        <v>15.54</v>
      </c>
      <c r="F60" s="15">
        <v>26.129999000000002</v>
      </c>
      <c r="G60" s="15">
        <v>6.82</v>
      </c>
      <c r="H60" s="15">
        <v>34.990001999999997</v>
      </c>
      <c r="I60" s="15">
        <v>16.209999</v>
      </c>
      <c r="J60" s="15">
        <v>114.307264</v>
      </c>
      <c r="K60" s="15">
        <v>25.620000999999998</v>
      </c>
      <c r="L60" s="61">
        <f t="shared" si="0"/>
        <v>32811.870276000001</v>
      </c>
      <c r="V60" s="25">
        <v>5074.2700199999999</v>
      </c>
      <c r="W60" s="61">
        <f t="shared" si="1"/>
        <v>38148.252175607726</v>
      </c>
    </row>
    <row r="61" spans="1:23" x14ac:dyDescent="0.45">
      <c r="A61" s="22">
        <v>42305</v>
      </c>
      <c r="B61" s="15">
        <v>62.91</v>
      </c>
      <c r="C61" s="15">
        <v>29.74</v>
      </c>
      <c r="D61" s="15">
        <v>59.680801000000002</v>
      </c>
      <c r="E61" s="15">
        <v>16.139999</v>
      </c>
      <c r="F61" s="15">
        <v>26.690000999999999</v>
      </c>
      <c r="G61" s="15">
        <v>6.94</v>
      </c>
      <c r="H61" s="15">
        <v>35.279998999999997</v>
      </c>
      <c r="I61" s="15">
        <v>16.920000000000002</v>
      </c>
      <c r="J61" s="15">
        <v>113.611718</v>
      </c>
      <c r="K61" s="15">
        <v>30.209999</v>
      </c>
      <c r="L61" s="61">
        <f t="shared" si="0"/>
        <v>34032.641302000004</v>
      </c>
      <c r="V61" s="25">
        <v>5095.6899409999996</v>
      </c>
      <c r="W61" s="61">
        <f t="shared" si="1"/>
        <v>38309.286678042336</v>
      </c>
    </row>
    <row r="62" spans="1:23" x14ac:dyDescent="0.45">
      <c r="A62" s="22">
        <v>42304</v>
      </c>
      <c r="B62" s="15">
        <v>75.550003000000004</v>
      </c>
      <c r="C62" s="15">
        <v>28.809999000000001</v>
      </c>
      <c r="D62" s="15">
        <v>58.700477999999997</v>
      </c>
      <c r="E62" s="15">
        <v>15.02</v>
      </c>
      <c r="F62" s="15">
        <v>25.639999</v>
      </c>
      <c r="G62" s="15">
        <v>6.82</v>
      </c>
      <c r="H62" s="15">
        <v>34.880001</v>
      </c>
      <c r="I62" s="15">
        <v>16.68</v>
      </c>
      <c r="J62" s="15">
        <v>113.045349</v>
      </c>
      <c r="K62" s="15">
        <v>28.23</v>
      </c>
      <c r="L62" s="61">
        <f t="shared" si="0"/>
        <v>34573.734534999996</v>
      </c>
      <c r="V62" s="25">
        <v>5030.1499020000001</v>
      </c>
      <c r="W62" s="61">
        <f t="shared" si="1"/>
        <v>37816.558083482611</v>
      </c>
    </row>
    <row r="63" spans="1:23" x14ac:dyDescent="0.45">
      <c r="A63" s="22">
        <v>42303</v>
      </c>
      <c r="B63" s="15">
        <v>75.370002999999997</v>
      </c>
      <c r="C63" s="15">
        <v>29.1</v>
      </c>
      <c r="D63" s="15">
        <v>58.631162000000003</v>
      </c>
      <c r="E63" s="15">
        <v>14.99</v>
      </c>
      <c r="F63" s="15">
        <v>26.41</v>
      </c>
      <c r="G63" s="15">
        <v>7.08</v>
      </c>
      <c r="H63" s="15">
        <v>34.880001</v>
      </c>
      <c r="I63" s="15">
        <v>16.579999999999998</v>
      </c>
      <c r="J63" s="15">
        <v>112.796941</v>
      </c>
      <c r="K63" s="15">
        <v>28.790001</v>
      </c>
      <c r="L63" s="61">
        <f t="shared" si="0"/>
        <v>34766.256866000003</v>
      </c>
      <c r="V63" s="25">
        <v>5034.7001950000003</v>
      </c>
      <c r="W63" s="61">
        <f t="shared" si="1"/>
        <v>37850.767087763568</v>
      </c>
    </row>
    <row r="64" spans="1:23" x14ac:dyDescent="0.45">
      <c r="A64" s="22">
        <v>42300</v>
      </c>
      <c r="B64" s="15">
        <v>74.080001999999993</v>
      </c>
      <c r="C64" s="15">
        <v>29.6</v>
      </c>
      <c r="D64" s="15">
        <v>60.136302999999998</v>
      </c>
      <c r="E64" s="15">
        <v>14.97</v>
      </c>
      <c r="F64" s="15">
        <v>27.67</v>
      </c>
      <c r="G64" s="15">
        <v>7.1</v>
      </c>
      <c r="H64" s="15">
        <v>34.900002000000001</v>
      </c>
      <c r="I64" s="15">
        <v>17.239999999999998</v>
      </c>
      <c r="J64" s="15">
        <v>112.36968</v>
      </c>
      <c r="K64" s="15">
        <v>29.15</v>
      </c>
      <c r="L64" s="61">
        <f t="shared" si="0"/>
        <v>34965.89604</v>
      </c>
      <c r="V64" s="25">
        <v>5031.8598629999997</v>
      </c>
      <c r="W64" s="61">
        <f t="shared" si="1"/>
        <v>37829.413533267769</v>
      </c>
    </row>
    <row r="65" spans="1:23" x14ac:dyDescent="0.45">
      <c r="A65" s="22">
        <v>42299</v>
      </c>
      <c r="B65" s="15">
        <v>72.529999000000004</v>
      </c>
      <c r="C65" s="15">
        <v>29.030000999999999</v>
      </c>
      <c r="D65" s="15">
        <v>59.839236999999997</v>
      </c>
      <c r="E65" s="15">
        <v>14.44</v>
      </c>
      <c r="F65" s="15">
        <v>30.870000999999998</v>
      </c>
      <c r="G65" s="15">
        <v>6.99</v>
      </c>
      <c r="H65" s="15">
        <v>34.75</v>
      </c>
      <c r="I65" s="15">
        <v>16.719999000000001</v>
      </c>
      <c r="J65" s="15">
        <v>112.52866400000001</v>
      </c>
      <c r="K65" s="15">
        <v>28.719999000000001</v>
      </c>
      <c r="L65" s="61">
        <f t="shared" si="0"/>
        <v>34563.831764000002</v>
      </c>
      <c r="V65" s="25">
        <v>4920.0498049999997</v>
      </c>
      <c r="W65" s="61">
        <f t="shared" si="1"/>
        <v>36988.827937400463</v>
      </c>
    </row>
    <row r="66" spans="1:23" x14ac:dyDescent="0.45">
      <c r="A66" s="22">
        <v>42298</v>
      </c>
      <c r="B66" s="15">
        <v>71.160004000000001</v>
      </c>
      <c r="C66" s="15">
        <v>28.26</v>
      </c>
      <c r="D66" s="15">
        <v>58.393510999999997</v>
      </c>
      <c r="E66" s="15">
        <v>15.58</v>
      </c>
      <c r="F66" s="15">
        <v>29.32</v>
      </c>
      <c r="G66" s="15">
        <v>7.02</v>
      </c>
      <c r="H66" s="15">
        <v>33.779998999999997</v>
      </c>
      <c r="I66" s="15">
        <v>16.43</v>
      </c>
      <c r="J66" s="15">
        <v>109.38878800000001</v>
      </c>
      <c r="K66" s="15">
        <v>29.059999000000001</v>
      </c>
      <c r="L66" s="61">
        <f t="shared" si="0"/>
        <v>33987.589353999996</v>
      </c>
      <c r="V66" s="25">
        <v>4840.1201170000004</v>
      </c>
      <c r="W66" s="61">
        <f t="shared" si="1"/>
        <v>36387.918273128867</v>
      </c>
    </row>
    <row r="67" spans="1:23" x14ac:dyDescent="0.45">
      <c r="A67" s="22">
        <v>42297</v>
      </c>
      <c r="B67" s="15">
        <v>71.919998000000007</v>
      </c>
      <c r="C67" s="15">
        <v>28.860001</v>
      </c>
      <c r="D67" s="15">
        <v>58.423215999999996</v>
      </c>
      <c r="E67" s="15">
        <v>15.8</v>
      </c>
      <c r="F67" s="15">
        <v>30.49</v>
      </c>
      <c r="G67" s="15">
        <v>7.07</v>
      </c>
      <c r="H67" s="15">
        <v>33.82</v>
      </c>
      <c r="I67" s="15">
        <v>17.09</v>
      </c>
      <c r="J67" s="15">
        <v>109.14037999999999</v>
      </c>
      <c r="K67" s="15">
        <v>30.309999000000001</v>
      </c>
      <c r="L67" s="61">
        <f t="shared" si="0"/>
        <v>34459.712159000002</v>
      </c>
      <c r="V67" s="25">
        <v>4880.9702150000003</v>
      </c>
      <c r="W67" s="61">
        <f t="shared" si="1"/>
        <v>36695.028425674966</v>
      </c>
    </row>
    <row r="68" spans="1:23" x14ac:dyDescent="0.45">
      <c r="A68" s="22">
        <v>42296</v>
      </c>
      <c r="B68" s="15">
        <v>70.419998000000007</v>
      </c>
      <c r="C68" s="15">
        <v>28.73</v>
      </c>
      <c r="D68" s="15">
        <v>58.522236999999997</v>
      </c>
      <c r="E68" s="15">
        <v>15.6</v>
      </c>
      <c r="F68" s="15">
        <v>29.700001</v>
      </c>
      <c r="G68" s="15">
        <v>7.27</v>
      </c>
      <c r="H68" s="15">
        <v>33.75</v>
      </c>
      <c r="I68" s="15">
        <v>19.16</v>
      </c>
      <c r="J68" s="15">
        <v>108.77274199999999</v>
      </c>
      <c r="K68" s="15">
        <v>29.639999</v>
      </c>
      <c r="L68" s="61">
        <f t="shared" ref="L68:L131" si="2">SUMPRODUCT($B$1:$K$1,B68:K68)</f>
        <v>34423.363849000001</v>
      </c>
      <c r="V68" s="25">
        <v>4905.4702150000003</v>
      </c>
      <c r="W68" s="61">
        <f t="shared" ref="W68:W131" si="3">V68*$W$254</f>
        <v>36879.218895361948</v>
      </c>
    </row>
    <row r="69" spans="1:23" x14ac:dyDescent="0.45">
      <c r="A69" s="22">
        <v>42293</v>
      </c>
      <c r="B69" s="15">
        <v>70.949996999999996</v>
      </c>
      <c r="C69" s="15">
        <v>28.969999000000001</v>
      </c>
      <c r="D69" s="15">
        <v>59.32432</v>
      </c>
      <c r="E69" s="15">
        <v>15.76</v>
      </c>
      <c r="F69" s="15">
        <v>30.940000999999999</v>
      </c>
      <c r="G69" s="15">
        <v>7.06</v>
      </c>
      <c r="H69" s="15">
        <v>34.169998</v>
      </c>
      <c r="I69" s="15">
        <v>18.5</v>
      </c>
      <c r="J69" s="15">
        <v>107.550573</v>
      </c>
      <c r="K69" s="15">
        <v>28.52</v>
      </c>
      <c r="L69" s="61">
        <f t="shared" si="2"/>
        <v>34416.26238</v>
      </c>
      <c r="V69" s="25">
        <v>4886.6899409999996</v>
      </c>
      <c r="W69" s="61">
        <f t="shared" si="3"/>
        <v>36738.029201937032</v>
      </c>
    </row>
    <row r="70" spans="1:23" x14ac:dyDescent="0.45">
      <c r="A70" s="22">
        <v>42292</v>
      </c>
      <c r="B70" s="15">
        <v>71.559997999999993</v>
      </c>
      <c r="C70" s="15">
        <v>28.559999000000001</v>
      </c>
      <c r="D70" s="15">
        <v>58.680672999999999</v>
      </c>
      <c r="E70" s="15">
        <v>15.96</v>
      </c>
      <c r="F70" s="15">
        <v>31</v>
      </c>
      <c r="G70" s="15">
        <v>7.09</v>
      </c>
      <c r="H70" s="15">
        <v>33.799999</v>
      </c>
      <c r="I70" s="15">
        <v>18.66</v>
      </c>
      <c r="J70" s="15">
        <v>107.202804</v>
      </c>
      <c r="K70" s="15">
        <v>28.540001</v>
      </c>
      <c r="L70" s="61">
        <f t="shared" si="2"/>
        <v>34323.737266000004</v>
      </c>
      <c r="V70" s="25">
        <v>4870.1000979999999</v>
      </c>
      <c r="W70" s="61">
        <f t="shared" si="3"/>
        <v>36613.307121357306</v>
      </c>
    </row>
    <row r="71" spans="1:23" x14ac:dyDescent="0.45">
      <c r="A71" s="22">
        <v>42291</v>
      </c>
      <c r="B71" s="15">
        <v>70.279999000000004</v>
      </c>
      <c r="C71" s="15">
        <v>28.190000999999999</v>
      </c>
      <c r="D71" s="15">
        <v>58.056834000000002</v>
      </c>
      <c r="E71" s="15">
        <v>15.53</v>
      </c>
      <c r="F71" s="15">
        <v>30.709999</v>
      </c>
      <c r="G71" s="15">
        <v>7.05</v>
      </c>
      <c r="H71" s="15">
        <v>33.020000000000003</v>
      </c>
      <c r="I71" s="15">
        <v>18.82</v>
      </c>
      <c r="J71" s="15">
        <v>105.05656500000001</v>
      </c>
      <c r="K71" s="15">
        <v>28.09</v>
      </c>
      <c r="L71" s="61">
        <f t="shared" si="2"/>
        <v>33811.488770000004</v>
      </c>
      <c r="V71" s="25">
        <v>4782.8500979999999</v>
      </c>
      <c r="W71" s="61">
        <f t="shared" si="3"/>
        <v>35957.363509921001</v>
      </c>
    </row>
    <row r="72" spans="1:23" x14ac:dyDescent="0.45">
      <c r="A72" s="22">
        <v>42290</v>
      </c>
      <c r="B72" s="15">
        <v>71.139999000000003</v>
      </c>
      <c r="C72" s="15">
        <v>28.09</v>
      </c>
      <c r="D72" s="15">
        <v>56.947780999999999</v>
      </c>
      <c r="E72" s="15">
        <v>15.42</v>
      </c>
      <c r="F72" s="15">
        <v>30.99</v>
      </c>
      <c r="G72" s="15">
        <v>7.14</v>
      </c>
      <c r="H72" s="15">
        <v>32.880001</v>
      </c>
      <c r="I72" s="15">
        <v>18.18</v>
      </c>
      <c r="J72" s="15">
        <v>105.911081</v>
      </c>
      <c r="K72" s="15">
        <v>27.969999000000001</v>
      </c>
      <c r="L72" s="61">
        <f t="shared" si="2"/>
        <v>33780.091433999994</v>
      </c>
      <c r="V72" s="25">
        <v>4796.6098629999997</v>
      </c>
      <c r="W72" s="61">
        <f t="shared" si="3"/>
        <v>36060.809125354979</v>
      </c>
    </row>
    <row r="73" spans="1:23" x14ac:dyDescent="0.45">
      <c r="A73" s="22">
        <v>42289</v>
      </c>
      <c r="B73" s="15">
        <v>72.819999999999993</v>
      </c>
      <c r="C73" s="15">
        <v>28.49</v>
      </c>
      <c r="D73" s="15">
        <v>57.225045999999999</v>
      </c>
      <c r="E73" s="15">
        <v>16.809999000000001</v>
      </c>
      <c r="F73" s="15">
        <v>30.82</v>
      </c>
      <c r="G73" s="15">
        <v>7.33</v>
      </c>
      <c r="H73" s="15">
        <v>32.580002</v>
      </c>
      <c r="I73" s="15">
        <v>18.030000999999999</v>
      </c>
      <c r="J73" s="15">
        <v>105.672612</v>
      </c>
      <c r="K73" s="15">
        <v>28.459999</v>
      </c>
      <c r="L73" s="61">
        <f t="shared" si="2"/>
        <v>34213.980872</v>
      </c>
      <c r="V73" s="25">
        <v>4838.6401370000003</v>
      </c>
      <c r="W73" s="61">
        <f t="shared" si="3"/>
        <v>36376.791815523669</v>
      </c>
    </row>
    <row r="74" spans="1:23" x14ac:dyDescent="0.45">
      <c r="A74" s="22">
        <v>42286</v>
      </c>
      <c r="B74" s="15">
        <v>73.459998999999996</v>
      </c>
      <c r="C74" s="15">
        <v>28.379999000000002</v>
      </c>
      <c r="D74" s="15">
        <v>57.215142</v>
      </c>
      <c r="E74" s="15">
        <v>16.780000999999999</v>
      </c>
      <c r="F74" s="15">
        <v>31.9</v>
      </c>
      <c r="G74" s="15">
        <v>7.24</v>
      </c>
      <c r="H74" s="15">
        <v>32.07</v>
      </c>
      <c r="I74" s="15">
        <v>18.16</v>
      </c>
      <c r="J74" s="15">
        <v>104.887642</v>
      </c>
      <c r="K74" s="15">
        <v>29.08</v>
      </c>
      <c r="L74" s="61">
        <f t="shared" si="2"/>
        <v>34221.136092000008</v>
      </c>
      <c r="V74" s="25">
        <v>4830.4702150000003</v>
      </c>
      <c r="W74" s="61">
        <f t="shared" si="3"/>
        <v>36315.370518769138</v>
      </c>
    </row>
    <row r="75" spans="1:23" x14ac:dyDescent="0.45">
      <c r="A75" s="22">
        <v>42285</v>
      </c>
      <c r="B75" s="15">
        <v>73.800003000000004</v>
      </c>
      <c r="C75" s="15">
        <v>27.82</v>
      </c>
      <c r="D75" s="15">
        <v>57.096316000000002</v>
      </c>
      <c r="E75" s="15">
        <v>16.700001</v>
      </c>
      <c r="F75" s="15">
        <v>31.889999</v>
      </c>
      <c r="G75" s="15">
        <v>7.14</v>
      </c>
      <c r="H75" s="15">
        <v>31.73</v>
      </c>
      <c r="I75" s="15">
        <v>18.719999000000001</v>
      </c>
      <c r="J75" s="15">
        <v>103.943696</v>
      </c>
      <c r="K75" s="15">
        <v>27.6</v>
      </c>
      <c r="L75" s="61">
        <f t="shared" si="2"/>
        <v>33909.836937</v>
      </c>
      <c r="V75" s="25">
        <v>4810.7900390000004</v>
      </c>
      <c r="W75" s="61">
        <f t="shared" si="3"/>
        <v>36167.415381586994</v>
      </c>
    </row>
    <row r="76" spans="1:23" x14ac:dyDescent="0.45">
      <c r="A76" s="22">
        <v>42284</v>
      </c>
      <c r="B76" s="15">
        <v>73.550003000000004</v>
      </c>
      <c r="C76" s="15">
        <v>27.629999000000002</v>
      </c>
      <c r="D76" s="15">
        <v>56.056581000000001</v>
      </c>
      <c r="E76" s="15">
        <v>16.540001</v>
      </c>
      <c r="F76" s="15">
        <v>30.26</v>
      </c>
      <c r="G76" s="15">
        <v>7.18</v>
      </c>
      <c r="H76" s="15">
        <v>31.940000999999999</v>
      </c>
      <c r="I76" s="15">
        <v>18.620000999999998</v>
      </c>
      <c r="J76" s="15">
        <v>102.731466</v>
      </c>
      <c r="K76" s="15">
        <v>29.33</v>
      </c>
      <c r="L76" s="61">
        <f t="shared" si="2"/>
        <v>33878.703402000006</v>
      </c>
      <c r="V76" s="25">
        <v>4791.1499020000001</v>
      </c>
      <c r="W76" s="61">
        <f t="shared" si="3"/>
        <v>36019.761256740181</v>
      </c>
    </row>
    <row r="77" spans="1:23" x14ac:dyDescent="0.45">
      <c r="A77" s="22">
        <v>42283</v>
      </c>
      <c r="B77" s="15">
        <v>72.300003000000004</v>
      </c>
      <c r="C77" s="15">
        <v>27.5</v>
      </c>
      <c r="D77" s="15">
        <v>55.769416</v>
      </c>
      <c r="E77" s="15">
        <v>16.399999999999999</v>
      </c>
      <c r="F77" s="15">
        <v>29.66</v>
      </c>
      <c r="G77" s="15">
        <v>7.19</v>
      </c>
      <c r="H77" s="15">
        <v>31.91</v>
      </c>
      <c r="I77" s="15">
        <v>18.219999000000001</v>
      </c>
      <c r="J77" s="15">
        <v>103.109043</v>
      </c>
      <c r="K77" s="15">
        <v>30.65</v>
      </c>
      <c r="L77" s="61">
        <f t="shared" si="2"/>
        <v>33769.802294999994</v>
      </c>
      <c r="V77" s="25">
        <v>4748.3598629999997</v>
      </c>
      <c r="W77" s="61">
        <f t="shared" si="3"/>
        <v>35698.066669746935</v>
      </c>
    </row>
    <row r="78" spans="1:23" x14ac:dyDescent="0.45">
      <c r="A78" s="22">
        <v>42282</v>
      </c>
      <c r="B78" s="15">
        <v>72.120002999999997</v>
      </c>
      <c r="C78" s="15">
        <v>27.4</v>
      </c>
      <c r="D78" s="15">
        <v>55.680295000000001</v>
      </c>
      <c r="E78" s="15">
        <v>16.379999000000002</v>
      </c>
      <c r="F78" s="15">
        <v>28.35</v>
      </c>
      <c r="G78" s="15">
        <v>7.17</v>
      </c>
      <c r="H78" s="15">
        <v>31.969999000000001</v>
      </c>
      <c r="I78" s="15">
        <v>17.57</v>
      </c>
      <c r="J78" s="15">
        <v>103.188535</v>
      </c>
      <c r="K78" s="15">
        <v>30.26</v>
      </c>
      <c r="L78" s="61">
        <f t="shared" si="2"/>
        <v>33588.570873000004</v>
      </c>
      <c r="V78" s="25">
        <v>4781.2597660000001</v>
      </c>
      <c r="W78" s="61">
        <f t="shared" si="3"/>
        <v>35945.407428368424</v>
      </c>
    </row>
    <row r="79" spans="1:23" x14ac:dyDescent="0.45">
      <c r="A79" s="22">
        <v>42279</v>
      </c>
      <c r="B79" s="15">
        <v>70.230002999999996</v>
      </c>
      <c r="C79" s="15">
        <v>26.59</v>
      </c>
      <c r="D79" s="15">
        <v>54.531635999999999</v>
      </c>
      <c r="E79" s="15">
        <v>15.77</v>
      </c>
      <c r="F79" s="15">
        <v>26.6</v>
      </c>
      <c r="G79" s="15">
        <v>7.24</v>
      </c>
      <c r="H79" s="15">
        <v>31.459999</v>
      </c>
      <c r="I79" s="15">
        <v>15.91</v>
      </c>
      <c r="J79" s="15">
        <v>102.343951</v>
      </c>
      <c r="K79" s="15">
        <v>30.440000999999999</v>
      </c>
      <c r="L79" s="61">
        <f t="shared" si="2"/>
        <v>32819.890575999998</v>
      </c>
      <c r="V79" s="25">
        <v>4707.7797849999997</v>
      </c>
      <c r="W79" s="61">
        <f t="shared" si="3"/>
        <v>35392.986521716142</v>
      </c>
    </row>
    <row r="80" spans="1:23" x14ac:dyDescent="0.45">
      <c r="A80" s="22">
        <v>42278</v>
      </c>
      <c r="B80" s="15">
        <v>68.959998999999996</v>
      </c>
      <c r="C80" s="15">
        <v>26.030000999999999</v>
      </c>
      <c r="D80" s="15">
        <v>52.660113000000003</v>
      </c>
      <c r="E80" s="15">
        <v>15.56</v>
      </c>
      <c r="F80" s="15">
        <v>25.6</v>
      </c>
      <c r="G80" s="15">
        <v>6.6</v>
      </c>
      <c r="H80" s="15">
        <v>30.9</v>
      </c>
      <c r="I80" s="15">
        <v>14.77</v>
      </c>
      <c r="J80" s="15">
        <v>102.016051</v>
      </c>
      <c r="K80" s="15">
        <v>30.07</v>
      </c>
      <c r="L80" s="61">
        <f t="shared" si="2"/>
        <v>31965.32733</v>
      </c>
      <c r="V80" s="25">
        <v>4627.080078</v>
      </c>
      <c r="W80" s="61">
        <f t="shared" si="3"/>
        <v>34786.287871269938</v>
      </c>
    </row>
    <row r="81" spans="1:23" x14ac:dyDescent="0.45">
      <c r="A81" s="22">
        <v>42277</v>
      </c>
      <c r="B81" s="15">
        <v>69.059997999999993</v>
      </c>
      <c r="C81" s="15">
        <v>25.969999000000001</v>
      </c>
      <c r="D81" s="15">
        <v>53.204734999999999</v>
      </c>
      <c r="E81" s="15">
        <v>16.02</v>
      </c>
      <c r="F81" s="15">
        <v>26.49</v>
      </c>
      <c r="G81" s="15">
        <v>6.6</v>
      </c>
      <c r="H81" s="15">
        <v>30.889999</v>
      </c>
      <c r="I81" s="15">
        <v>14.98</v>
      </c>
      <c r="J81" s="15">
        <v>101.549043</v>
      </c>
      <c r="K81" s="15">
        <v>31.219999000000001</v>
      </c>
      <c r="L81" s="61">
        <f t="shared" si="2"/>
        <v>32161.117354000002</v>
      </c>
      <c r="V81" s="25">
        <v>4620.1601559999999</v>
      </c>
      <c r="W81" s="61">
        <f t="shared" si="3"/>
        <v>34734.264047458615</v>
      </c>
    </row>
    <row r="82" spans="1:23" x14ac:dyDescent="0.45">
      <c r="A82" s="22">
        <v>42276</v>
      </c>
      <c r="B82" s="15">
        <v>67.5</v>
      </c>
      <c r="C82" s="15">
        <v>25.790001</v>
      </c>
      <c r="D82" s="15">
        <v>51.917445000000001</v>
      </c>
      <c r="E82" s="15">
        <v>15.76</v>
      </c>
      <c r="F82" s="15">
        <v>26.17</v>
      </c>
      <c r="G82" s="15">
        <v>6.22</v>
      </c>
      <c r="H82" s="15">
        <v>30.66</v>
      </c>
      <c r="I82" s="15">
        <v>14.38</v>
      </c>
      <c r="J82" s="15">
        <v>98.786750999999995</v>
      </c>
      <c r="K82" s="15">
        <v>29.860001</v>
      </c>
      <c r="L82" s="61">
        <f t="shared" si="2"/>
        <v>31440.935120999999</v>
      </c>
      <c r="V82" s="25">
        <v>4517.3198240000002</v>
      </c>
      <c r="W82" s="61">
        <f t="shared" si="3"/>
        <v>33961.112657505742</v>
      </c>
    </row>
    <row r="83" spans="1:23" x14ac:dyDescent="0.45">
      <c r="A83" s="22">
        <v>42275</v>
      </c>
      <c r="B83" s="15">
        <v>67.959998999999996</v>
      </c>
      <c r="C83" s="15">
        <v>25.91</v>
      </c>
      <c r="D83" s="15">
        <v>52.02637</v>
      </c>
      <c r="E83" s="15">
        <v>15.7</v>
      </c>
      <c r="F83" s="15">
        <v>28.84</v>
      </c>
      <c r="G83" s="15">
        <v>5.84</v>
      </c>
      <c r="H83" s="15">
        <v>31.309999000000001</v>
      </c>
      <c r="I83" s="15">
        <v>14.06</v>
      </c>
      <c r="J83" s="15">
        <v>97.862673999999998</v>
      </c>
      <c r="K83" s="15">
        <v>29.67</v>
      </c>
      <c r="L83" s="61">
        <f t="shared" si="2"/>
        <v>31489.478475</v>
      </c>
      <c r="V83" s="25">
        <v>4543.9702150000003</v>
      </c>
      <c r="W83" s="61">
        <f t="shared" si="3"/>
        <v>34161.469720184592</v>
      </c>
    </row>
    <row r="84" spans="1:23" x14ac:dyDescent="0.45">
      <c r="A84" s="22">
        <v>42272</v>
      </c>
      <c r="B84" s="15">
        <v>70.550003000000004</v>
      </c>
      <c r="C84" s="15">
        <v>26.42</v>
      </c>
      <c r="D84" s="15">
        <v>52.699722999999999</v>
      </c>
      <c r="E84" s="15">
        <v>16.049999</v>
      </c>
      <c r="F84" s="15">
        <v>28.84</v>
      </c>
      <c r="G84" s="15">
        <v>5.61</v>
      </c>
      <c r="H84" s="15">
        <v>32.060001</v>
      </c>
      <c r="I84" s="15">
        <v>14.91</v>
      </c>
      <c r="J84" s="15">
        <v>99.661151000000004</v>
      </c>
      <c r="K84" s="15">
        <v>32.310001</v>
      </c>
      <c r="L84" s="61">
        <f t="shared" si="2"/>
        <v>32345.221134000003</v>
      </c>
      <c r="V84" s="25">
        <v>4686.5</v>
      </c>
      <c r="W84" s="61">
        <f t="shared" si="3"/>
        <v>35233.005558696226</v>
      </c>
    </row>
    <row r="85" spans="1:23" x14ac:dyDescent="0.45">
      <c r="A85" s="22">
        <v>42271</v>
      </c>
      <c r="B85" s="15">
        <v>69.389999000000003</v>
      </c>
      <c r="C85" s="15">
        <v>26.18</v>
      </c>
      <c r="D85" s="15">
        <v>52.749232999999997</v>
      </c>
      <c r="E85" s="15">
        <v>15.66</v>
      </c>
      <c r="F85" s="15">
        <v>29.73</v>
      </c>
      <c r="G85" s="15">
        <v>5.6</v>
      </c>
      <c r="H85" s="15">
        <v>31.49</v>
      </c>
      <c r="I85" s="15">
        <v>15.34</v>
      </c>
      <c r="J85" s="15">
        <v>99.979112000000001</v>
      </c>
      <c r="K85" s="15">
        <v>33.919998</v>
      </c>
      <c r="L85" s="61">
        <f t="shared" si="2"/>
        <v>32277.324728000003</v>
      </c>
      <c r="V85" s="25">
        <v>4734.4799800000001</v>
      </c>
      <c r="W85" s="61">
        <f t="shared" si="3"/>
        <v>35593.718009788965</v>
      </c>
    </row>
    <row r="86" spans="1:23" x14ac:dyDescent="0.45">
      <c r="A86" s="22">
        <v>42270</v>
      </c>
      <c r="B86" s="15">
        <v>70.540001000000004</v>
      </c>
      <c r="C86" s="15">
        <v>26.219999000000001</v>
      </c>
      <c r="D86" s="15">
        <v>53.036399000000003</v>
      </c>
      <c r="E86" s="15">
        <v>16.329999999999998</v>
      </c>
      <c r="F86" s="15">
        <v>29.16</v>
      </c>
      <c r="G86" s="15">
        <v>5.44</v>
      </c>
      <c r="H86" s="15">
        <v>31.620000999999998</v>
      </c>
      <c r="I86" s="15">
        <v>14.81</v>
      </c>
      <c r="J86" s="15">
        <v>100.92305899999999</v>
      </c>
      <c r="K86" s="15">
        <v>32.639999000000003</v>
      </c>
      <c r="L86" s="61">
        <f t="shared" si="2"/>
        <v>32281.421624000002</v>
      </c>
      <c r="V86" s="25">
        <v>4752.7402339999999</v>
      </c>
      <c r="W86" s="61">
        <f t="shared" si="3"/>
        <v>35730.998204109928</v>
      </c>
    </row>
    <row r="87" spans="1:23" x14ac:dyDescent="0.45">
      <c r="A87" s="22">
        <v>42269</v>
      </c>
      <c r="B87" s="15">
        <v>70.610000999999997</v>
      </c>
      <c r="C87" s="15">
        <v>26.459999</v>
      </c>
      <c r="D87" s="15">
        <v>53.412680999999999</v>
      </c>
      <c r="E87" s="15">
        <v>16.649999999999999</v>
      </c>
      <c r="F87" s="15">
        <v>30.620000999999998</v>
      </c>
      <c r="G87" s="15">
        <v>5.62</v>
      </c>
      <c r="H87" s="15">
        <v>31.41</v>
      </c>
      <c r="I87" s="15">
        <v>15.41</v>
      </c>
      <c r="J87" s="15">
        <v>101.837197</v>
      </c>
      <c r="K87" s="15">
        <v>33.310001</v>
      </c>
      <c r="L87" s="61">
        <f t="shared" si="2"/>
        <v>32612.339931000002</v>
      </c>
      <c r="V87" s="25">
        <v>4756.7202150000003</v>
      </c>
      <c r="W87" s="61">
        <f t="shared" si="3"/>
        <v>35760.919615119536</v>
      </c>
    </row>
    <row r="88" spans="1:23" x14ac:dyDescent="0.45">
      <c r="A88" s="22">
        <v>42268</v>
      </c>
      <c r="B88" s="15">
        <v>72.089995999999999</v>
      </c>
      <c r="C88" s="15">
        <v>26.870000999999998</v>
      </c>
      <c r="D88" s="15">
        <v>53.858283</v>
      </c>
      <c r="E88" s="15">
        <v>16.68</v>
      </c>
      <c r="F88" s="15">
        <v>28.83</v>
      </c>
      <c r="G88" s="15">
        <v>5.96</v>
      </c>
      <c r="H88" s="15">
        <v>31.52</v>
      </c>
      <c r="I88" s="15">
        <v>15.75</v>
      </c>
      <c r="J88" s="15">
        <v>102.75134300000001</v>
      </c>
      <c r="K88" s="15">
        <v>32.270000000000003</v>
      </c>
      <c r="L88" s="61">
        <f t="shared" si="2"/>
        <v>32928.474290000006</v>
      </c>
      <c r="V88" s="25">
        <v>4828.9501950000003</v>
      </c>
      <c r="W88" s="61">
        <f t="shared" si="3"/>
        <v>36303.943041310624</v>
      </c>
    </row>
    <row r="89" spans="1:23" x14ac:dyDescent="0.45">
      <c r="A89" s="22">
        <v>42265</v>
      </c>
      <c r="B89" s="15">
        <v>71.949996999999996</v>
      </c>
      <c r="C89" s="15">
        <v>26.99</v>
      </c>
      <c r="D89" s="15">
        <v>53.917698000000001</v>
      </c>
      <c r="E89" s="15">
        <v>16.57</v>
      </c>
      <c r="F89" s="15">
        <v>28.84</v>
      </c>
      <c r="G89" s="15">
        <v>5.85</v>
      </c>
      <c r="H89" s="15">
        <v>31.1</v>
      </c>
      <c r="I89" s="15">
        <v>15.5</v>
      </c>
      <c r="J89" s="15">
        <v>102.184966</v>
      </c>
      <c r="K89" s="15">
        <v>35.150002000000001</v>
      </c>
      <c r="L89" s="61">
        <f t="shared" si="2"/>
        <v>33062.423762000006</v>
      </c>
      <c r="V89" s="25">
        <v>4827.2299800000001</v>
      </c>
      <c r="W89" s="61">
        <f t="shared" si="3"/>
        <v>36291.010502175413</v>
      </c>
    </row>
    <row r="90" spans="1:23" x14ac:dyDescent="0.45">
      <c r="A90" s="22">
        <v>42264</v>
      </c>
      <c r="B90" s="15">
        <v>74.639999000000003</v>
      </c>
      <c r="C90" s="15">
        <v>27.639999</v>
      </c>
      <c r="D90" s="15">
        <v>54.442515</v>
      </c>
      <c r="E90" s="15">
        <v>16.780000999999999</v>
      </c>
      <c r="F90" s="15">
        <v>29.889999</v>
      </c>
      <c r="G90" s="15">
        <v>5.87</v>
      </c>
      <c r="H90" s="15">
        <v>30.969999000000001</v>
      </c>
      <c r="I90" s="15">
        <v>16.41</v>
      </c>
      <c r="J90" s="15">
        <v>103.536304</v>
      </c>
      <c r="K90" s="15">
        <v>36.32</v>
      </c>
      <c r="L90" s="61">
        <f t="shared" si="2"/>
        <v>33790.174427000005</v>
      </c>
      <c r="V90" s="25">
        <v>4893.9501950000003</v>
      </c>
      <c r="W90" s="61">
        <f t="shared" si="3"/>
        <v>36792.611634357723</v>
      </c>
    </row>
    <row r="91" spans="1:23" x14ac:dyDescent="0.45">
      <c r="A91" s="22">
        <v>42263</v>
      </c>
      <c r="B91" s="15">
        <v>74.819999999999993</v>
      </c>
      <c r="C91" s="15">
        <v>27.84</v>
      </c>
      <c r="D91" s="15">
        <v>54.660366000000003</v>
      </c>
      <c r="E91" s="15">
        <v>16.719999000000001</v>
      </c>
      <c r="F91" s="15">
        <v>29.719999000000001</v>
      </c>
      <c r="G91" s="15">
        <v>5.84</v>
      </c>
      <c r="H91" s="15">
        <v>30.52</v>
      </c>
      <c r="I91" s="15">
        <v>16.68</v>
      </c>
      <c r="J91" s="15">
        <v>103.29783500000001</v>
      </c>
      <c r="K91" s="15">
        <v>35.729999999999997</v>
      </c>
      <c r="L91" s="61">
        <f t="shared" si="2"/>
        <v>33748.583237999999</v>
      </c>
      <c r="V91" s="25">
        <v>4889.2402339999999</v>
      </c>
      <c r="W91" s="61">
        <f t="shared" si="3"/>
        <v>36757.202249508846</v>
      </c>
    </row>
    <row r="92" spans="1:23" x14ac:dyDescent="0.45">
      <c r="A92" s="22">
        <v>42262</v>
      </c>
      <c r="B92" s="15">
        <v>75.199996999999996</v>
      </c>
      <c r="C92" s="15">
        <v>27.57</v>
      </c>
      <c r="D92" s="15">
        <v>54.333590000000001</v>
      </c>
      <c r="E92" s="15">
        <v>16.549999</v>
      </c>
      <c r="F92" s="15">
        <v>29.76</v>
      </c>
      <c r="G92" s="15">
        <v>5.54</v>
      </c>
      <c r="H92" s="15">
        <v>29.799999</v>
      </c>
      <c r="I92" s="15">
        <v>16.52</v>
      </c>
      <c r="J92" s="15">
        <v>102.77121200000001</v>
      </c>
      <c r="K92" s="15">
        <v>33.57</v>
      </c>
      <c r="L92" s="61">
        <f t="shared" si="2"/>
        <v>33257.845332999997</v>
      </c>
      <c r="V92" s="25">
        <v>4860.5200199999999</v>
      </c>
      <c r="W92" s="61">
        <f t="shared" si="3"/>
        <v>36541.284302318207</v>
      </c>
    </row>
    <row r="93" spans="1:23" x14ac:dyDescent="0.45">
      <c r="A93" s="22">
        <v>42261</v>
      </c>
      <c r="B93" s="15">
        <v>74.580001999999993</v>
      </c>
      <c r="C93" s="15">
        <v>27.469999000000001</v>
      </c>
      <c r="D93" s="15">
        <v>53.779066999999998</v>
      </c>
      <c r="E93" s="15">
        <v>16.379999000000002</v>
      </c>
      <c r="F93" s="15">
        <v>30.18</v>
      </c>
      <c r="G93" s="15">
        <v>5.46</v>
      </c>
      <c r="H93" s="15">
        <v>29.209999</v>
      </c>
      <c r="I93" s="15">
        <v>16.700001</v>
      </c>
      <c r="J93" s="15">
        <v>103.158727</v>
      </c>
      <c r="K93" s="15">
        <v>32.880001</v>
      </c>
      <c r="L93" s="61">
        <f t="shared" si="2"/>
        <v>32995.445069000001</v>
      </c>
      <c r="V93" s="25">
        <v>4805.7597660000001</v>
      </c>
      <c r="W93" s="61">
        <f t="shared" si="3"/>
        <v>36129.597898055406</v>
      </c>
    </row>
    <row r="94" spans="1:23" x14ac:dyDescent="0.45">
      <c r="A94" s="22">
        <v>42258</v>
      </c>
      <c r="B94" s="15">
        <v>74.669998000000007</v>
      </c>
      <c r="C94" s="15">
        <v>27.459999</v>
      </c>
      <c r="D94" s="15">
        <v>54.125644000000001</v>
      </c>
      <c r="E94" s="15">
        <v>16.739999999999998</v>
      </c>
      <c r="F94" s="15">
        <v>28.950001</v>
      </c>
      <c r="G94" s="15">
        <v>5.67</v>
      </c>
      <c r="H94" s="15">
        <v>29.15</v>
      </c>
      <c r="I94" s="15">
        <v>16.799999</v>
      </c>
      <c r="J94" s="15">
        <v>103.814527</v>
      </c>
      <c r="K94" s="15">
        <v>32.419998</v>
      </c>
      <c r="L94" s="61">
        <f t="shared" si="2"/>
        <v>33060.647313000001</v>
      </c>
      <c r="V94" s="25">
        <v>4822.3398440000001</v>
      </c>
      <c r="W94" s="61">
        <f t="shared" si="3"/>
        <v>36254.246565576505</v>
      </c>
    </row>
    <row r="95" spans="1:23" x14ac:dyDescent="0.45">
      <c r="A95" s="22">
        <v>42257</v>
      </c>
      <c r="B95" s="15">
        <v>74.550003000000004</v>
      </c>
      <c r="C95" s="15">
        <v>27.799999</v>
      </c>
      <c r="D95" s="15">
        <v>54.789096000000001</v>
      </c>
      <c r="E95" s="15">
        <v>16.649999999999999</v>
      </c>
      <c r="F95" s="15">
        <v>28.91</v>
      </c>
      <c r="G95" s="15">
        <v>5.6</v>
      </c>
      <c r="H95" s="15">
        <v>29.059999000000001</v>
      </c>
      <c r="I95" s="15">
        <v>17.200001</v>
      </c>
      <c r="J95" s="15">
        <v>101.94649699999999</v>
      </c>
      <c r="K95" s="15">
        <v>33.880001</v>
      </c>
      <c r="L95" s="61">
        <f t="shared" si="2"/>
        <v>33236.629801000003</v>
      </c>
      <c r="V95" s="25">
        <v>4796.25</v>
      </c>
      <c r="W95" s="61">
        <f t="shared" si="3"/>
        <v>36058.10368311037</v>
      </c>
    </row>
    <row r="96" spans="1:23" x14ac:dyDescent="0.45">
      <c r="A96" s="22">
        <v>42256</v>
      </c>
      <c r="B96" s="15">
        <v>73.349997999999999</v>
      </c>
      <c r="C96" s="15">
        <v>27.48</v>
      </c>
      <c r="D96" s="15">
        <v>53.788967999999997</v>
      </c>
      <c r="E96" s="15">
        <v>16.82</v>
      </c>
      <c r="F96" s="15">
        <v>28.780000999999999</v>
      </c>
      <c r="G96" s="15">
        <v>5.57</v>
      </c>
      <c r="H96" s="15">
        <v>28.690000999999999</v>
      </c>
      <c r="I96" s="15">
        <v>16.959999</v>
      </c>
      <c r="J96" s="15">
        <v>101.260897</v>
      </c>
      <c r="K96" s="15">
        <v>33.650002000000001</v>
      </c>
      <c r="L96" s="61">
        <f t="shared" si="2"/>
        <v>32868.695372000002</v>
      </c>
      <c r="V96" s="25">
        <v>4756.5297849999997</v>
      </c>
      <c r="W96" s="61">
        <f t="shared" si="3"/>
        <v>35759.487966501474</v>
      </c>
    </row>
    <row r="97" spans="1:23" x14ac:dyDescent="0.45">
      <c r="A97" s="22">
        <v>42255</v>
      </c>
      <c r="B97" s="15">
        <v>74.279999000000004</v>
      </c>
      <c r="C97" s="15">
        <v>26.73</v>
      </c>
      <c r="D97" s="15">
        <v>54.660366000000003</v>
      </c>
      <c r="E97" s="15">
        <v>17.110001</v>
      </c>
      <c r="F97" s="15">
        <v>29.57</v>
      </c>
      <c r="G97" s="15">
        <v>5.65</v>
      </c>
      <c r="H97" s="15">
        <v>28.870000999999998</v>
      </c>
      <c r="I97" s="15">
        <v>17.530000999999999</v>
      </c>
      <c r="J97" s="15">
        <v>103.34752</v>
      </c>
      <c r="K97" s="15">
        <v>37.5</v>
      </c>
      <c r="L97" s="61">
        <f t="shared" si="2"/>
        <v>33385.164122000002</v>
      </c>
      <c r="V97" s="25">
        <v>4811.9301759999998</v>
      </c>
      <c r="W97" s="61">
        <f t="shared" si="3"/>
        <v>36175.986906874234</v>
      </c>
    </row>
    <row r="98" spans="1:23" x14ac:dyDescent="0.45">
      <c r="A98" s="22">
        <v>42251</v>
      </c>
      <c r="B98" s="15">
        <v>72.580001999999993</v>
      </c>
      <c r="C98" s="15">
        <v>25.92</v>
      </c>
      <c r="D98" s="15">
        <v>53.759262</v>
      </c>
      <c r="E98" s="15">
        <v>16.719999000000001</v>
      </c>
      <c r="F98" s="15">
        <v>28.389999</v>
      </c>
      <c r="G98" s="15">
        <v>5.44</v>
      </c>
      <c r="H98" s="15">
        <v>28.1</v>
      </c>
      <c r="I98" s="15">
        <v>16.82</v>
      </c>
      <c r="J98" s="15">
        <v>100.326882</v>
      </c>
      <c r="K98" s="15">
        <v>36.830002</v>
      </c>
      <c r="L98" s="61">
        <f t="shared" si="2"/>
        <v>32499.399829999998</v>
      </c>
      <c r="V98" s="25">
        <v>4683.919922</v>
      </c>
      <c r="W98" s="61">
        <f t="shared" si="3"/>
        <v>35213.608588139119</v>
      </c>
    </row>
    <row r="99" spans="1:23" x14ac:dyDescent="0.45">
      <c r="A99" s="22">
        <v>42250</v>
      </c>
      <c r="B99" s="15">
        <v>73.260002</v>
      </c>
      <c r="C99" s="15">
        <v>26.1</v>
      </c>
      <c r="D99" s="15">
        <v>55.006943</v>
      </c>
      <c r="E99" s="15">
        <v>17.030000999999999</v>
      </c>
      <c r="F99" s="15">
        <v>28.92</v>
      </c>
      <c r="G99" s="15">
        <v>5.65</v>
      </c>
      <c r="H99" s="15">
        <v>28.6</v>
      </c>
      <c r="I99" s="15">
        <v>16.59</v>
      </c>
      <c r="J99" s="15">
        <v>101.34038200000001</v>
      </c>
      <c r="K99" s="15">
        <v>38.650002000000001</v>
      </c>
      <c r="L99" s="61">
        <f t="shared" si="2"/>
        <v>33032.919073999998</v>
      </c>
      <c r="V99" s="25">
        <v>4733.5</v>
      </c>
      <c r="W99" s="61">
        <f t="shared" si="3"/>
        <v>35586.350541361055</v>
      </c>
    </row>
    <row r="100" spans="1:23" x14ac:dyDescent="0.45">
      <c r="A100" s="22">
        <v>42249</v>
      </c>
      <c r="B100" s="15">
        <v>71.269997000000004</v>
      </c>
      <c r="C100" s="15">
        <v>25.969999000000001</v>
      </c>
      <c r="D100" s="15">
        <v>55.313912999999999</v>
      </c>
      <c r="E100" s="15">
        <v>16.93</v>
      </c>
      <c r="F100" s="15">
        <v>29.450001</v>
      </c>
      <c r="G100" s="15">
        <v>5.87</v>
      </c>
      <c r="H100" s="15">
        <v>28.370000999999998</v>
      </c>
      <c r="I100" s="15">
        <v>16.290001</v>
      </c>
      <c r="J100" s="15">
        <v>101.24102000000001</v>
      </c>
      <c r="K100" s="15">
        <v>41.279998999999997</v>
      </c>
      <c r="L100" s="61">
        <f t="shared" si="2"/>
        <v>33072.445878999992</v>
      </c>
      <c r="V100" s="25">
        <v>4749.9799800000001</v>
      </c>
      <c r="W100" s="61">
        <f t="shared" si="3"/>
        <v>35710.246674284812</v>
      </c>
    </row>
    <row r="101" spans="1:23" x14ac:dyDescent="0.45">
      <c r="A101" s="22">
        <v>42248</v>
      </c>
      <c r="B101" s="15">
        <v>70.430000000000007</v>
      </c>
      <c r="C101" s="15">
        <v>25.6</v>
      </c>
      <c r="D101" s="15">
        <v>54.482125000000003</v>
      </c>
      <c r="E101" s="15">
        <v>16.809999000000001</v>
      </c>
      <c r="F101" s="15">
        <v>28.9</v>
      </c>
      <c r="G101" s="15">
        <v>5.47</v>
      </c>
      <c r="H101" s="15">
        <v>27.860001</v>
      </c>
      <c r="I101" s="15">
        <v>15.82</v>
      </c>
      <c r="J101" s="15">
        <v>98.876182</v>
      </c>
      <c r="K101" s="15">
        <v>43.689999</v>
      </c>
      <c r="L101" s="61">
        <f t="shared" si="2"/>
        <v>32724.181681999999</v>
      </c>
      <c r="V101" s="25">
        <v>4636.1000979999999</v>
      </c>
      <c r="W101" s="61">
        <f t="shared" si="3"/>
        <v>34854.100186387732</v>
      </c>
    </row>
    <row r="102" spans="1:23" x14ac:dyDescent="0.45">
      <c r="A102" s="22">
        <v>42247</v>
      </c>
      <c r="B102" s="15">
        <v>71.309997999999993</v>
      </c>
      <c r="C102" s="15">
        <v>26.42</v>
      </c>
      <c r="D102" s="15">
        <v>56.026876000000001</v>
      </c>
      <c r="E102" s="15">
        <v>17.200001</v>
      </c>
      <c r="F102" s="15">
        <v>30.66</v>
      </c>
      <c r="G102" s="15">
        <v>5.46</v>
      </c>
      <c r="H102" s="15">
        <v>28.629999000000002</v>
      </c>
      <c r="I102" s="15">
        <v>16.41</v>
      </c>
      <c r="J102" s="15">
        <v>101.231082</v>
      </c>
      <c r="K102" s="15">
        <v>46.59</v>
      </c>
      <c r="L102" s="61">
        <f t="shared" si="2"/>
        <v>33678.105996999999</v>
      </c>
      <c r="V102" s="25">
        <v>4776.5097660000001</v>
      </c>
      <c r="W102" s="61">
        <f t="shared" si="3"/>
        <v>35909.697031184209</v>
      </c>
    </row>
    <row r="103" spans="1:23" x14ac:dyDescent="0.45">
      <c r="A103" s="22">
        <v>42244</v>
      </c>
      <c r="B103" s="15">
        <v>71.900002000000001</v>
      </c>
      <c r="C103" s="15">
        <v>26.82</v>
      </c>
      <c r="D103" s="15">
        <v>56.413065000000003</v>
      </c>
      <c r="E103" s="15">
        <v>16.920000000000002</v>
      </c>
      <c r="F103" s="15">
        <v>30.02</v>
      </c>
      <c r="G103" s="15">
        <v>5.8</v>
      </c>
      <c r="H103" s="15">
        <v>29.219999000000001</v>
      </c>
      <c r="I103" s="15">
        <v>15.96</v>
      </c>
      <c r="J103" s="15">
        <v>101.82726599999999</v>
      </c>
      <c r="K103" s="15">
        <v>48.18</v>
      </c>
      <c r="L103" s="61">
        <f t="shared" si="2"/>
        <v>34133.191285000001</v>
      </c>
      <c r="V103" s="25">
        <v>4828.3198240000002</v>
      </c>
      <c r="W103" s="61">
        <f t="shared" si="3"/>
        <v>36299.20392577727</v>
      </c>
    </row>
    <row r="104" spans="1:23" x14ac:dyDescent="0.45">
      <c r="A104" s="22">
        <v>42243</v>
      </c>
      <c r="B104" s="15">
        <v>70.5</v>
      </c>
      <c r="C104" s="15">
        <v>26.33</v>
      </c>
      <c r="D104" s="15">
        <v>56.324688999999999</v>
      </c>
      <c r="E104" s="15">
        <v>16.559999000000001</v>
      </c>
      <c r="F104" s="15">
        <v>29.209999</v>
      </c>
      <c r="G104" s="15">
        <v>5.78</v>
      </c>
      <c r="H104" s="15">
        <v>27.93</v>
      </c>
      <c r="I104" s="15">
        <v>15.67</v>
      </c>
      <c r="J104" s="15">
        <v>101.51923499999999</v>
      </c>
      <c r="K104" s="15">
        <v>47.759998000000003</v>
      </c>
      <c r="L104" s="61">
        <f t="shared" si="2"/>
        <v>33543.711206</v>
      </c>
      <c r="V104" s="25">
        <v>4812.7099609999996</v>
      </c>
      <c r="W104" s="61">
        <f t="shared" si="3"/>
        <v>36181.849313625447</v>
      </c>
    </row>
    <row r="105" spans="1:23" x14ac:dyDescent="0.45">
      <c r="A105" s="22">
        <v>42242</v>
      </c>
      <c r="B105" s="15">
        <v>68.169998000000007</v>
      </c>
      <c r="C105" s="15">
        <v>25.66</v>
      </c>
      <c r="D105" s="15">
        <v>55.637323000000002</v>
      </c>
      <c r="E105" s="15">
        <v>16.110001</v>
      </c>
      <c r="F105" s="15">
        <v>27.66</v>
      </c>
      <c r="G105" s="15">
        <v>5.43</v>
      </c>
      <c r="H105" s="15">
        <v>27.290001</v>
      </c>
      <c r="I105" s="15">
        <v>14.42</v>
      </c>
      <c r="J105" s="15">
        <v>98.597966999999997</v>
      </c>
      <c r="K105" s="15">
        <v>46.279998999999997</v>
      </c>
      <c r="L105" s="61">
        <f t="shared" si="2"/>
        <v>32474.675096000006</v>
      </c>
      <c r="V105" s="25">
        <v>4697.5400390000004</v>
      </c>
      <c r="W105" s="61">
        <f t="shared" si="3"/>
        <v>35316.004332931843</v>
      </c>
    </row>
    <row r="106" spans="1:23" x14ac:dyDescent="0.45">
      <c r="A106" s="22">
        <v>42241</v>
      </c>
      <c r="B106" s="15">
        <v>65.629997000000003</v>
      </c>
      <c r="C106" s="15">
        <v>24.99</v>
      </c>
      <c r="D106" s="15">
        <v>52.907502000000001</v>
      </c>
      <c r="E106" s="15">
        <v>15.38</v>
      </c>
      <c r="F106" s="15">
        <v>26.84</v>
      </c>
      <c r="G106" s="15">
        <v>5.82</v>
      </c>
      <c r="H106" s="15">
        <v>26.18</v>
      </c>
      <c r="I106" s="15">
        <v>14.27</v>
      </c>
      <c r="J106" s="15">
        <v>95.279235999999997</v>
      </c>
      <c r="K106" s="15">
        <v>47.029998999999997</v>
      </c>
      <c r="L106" s="61">
        <f t="shared" si="2"/>
        <v>31755.971789000003</v>
      </c>
      <c r="V106" s="25">
        <v>4506.4902339999999</v>
      </c>
      <c r="W106" s="61">
        <f t="shared" si="3"/>
        <v>33879.69603429686</v>
      </c>
    </row>
    <row r="107" spans="1:23" x14ac:dyDescent="0.45">
      <c r="A107" s="22">
        <v>42240</v>
      </c>
      <c r="B107" s="15">
        <v>66.519997000000004</v>
      </c>
      <c r="C107" s="15">
        <v>25.32</v>
      </c>
      <c r="D107" s="15">
        <v>54.282229999999998</v>
      </c>
      <c r="E107" s="15">
        <v>15.55</v>
      </c>
      <c r="F107" s="15">
        <v>27.889999</v>
      </c>
      <c r="G107" s="15">
        <v>5.56</v>
      </c>
      <c r="H107" s="15">
        <v>26.16</v>
      </c>
      <c r="I107" s="15">
        <v>14.44</v>
      </c>
      <c r="J107" s="15">
        <v>94.752612999999997</v>
      </c>
      <c r="K107" s="15">
        <v>47.860000999999997</v>
      </c>
      <c r="L107" s="61">
        <f t="shared" si="2"/>
        <v>32027.789650999999</v>
      </c>
      <c r="V107" s="25">
        <v>4526.25</v>
      </c>
      <c r="W107" s="61">
        <f t="shared" si="3"/>
        <v>34028.249527376247</v>
      </c>
    </row>
    <row r="108" spans="1:23" x14ac:dyDescent="0.45">
      <c r="A108" s="22">
        <v>42237</v>
      </c>
      <c r="B108" s="15">
        <v>68.040001000000004</v>
      </c>
      <c r="C108" s="15">
        <v>26.440000999999999</v>
      </c>
      <c r="D108" s="15">
        <v>56.570177000000001</v>
      </c>
      <c r="E108" s="15">
        <v>15.65</v>
      </c>
      <c r="F108" s="15">
        <v>28.27</v>
      </c>
      <c r="G108" s="15">
        <v>5.53</v>
      </c>
      <c r="H108" s="15">
        <v>27.219999000000001</v>
      </c>
      <c r="I108" s="15">
        <v>14.53</v>
      </c>
      <c r="J108" s="15">
        <v>98.210443999999995</v>
      </c>
      <c r="K108" s="15">
        <v>48.389999000000003</v>
      </c>
      <c r="L108" s="61">
        <f t="shared" si="2"/>
        <v>32897.982283999998</v>
      </c>
      <c r="V108" s="25">
        <v>4706.0400390000004</v>
      </c>
      <c r="W108" s="61">
        <f t="shared" si="3"/>
        <v>35379.907148945698</v>
      </c>
    </row>
    <row r="109" spans="1:23" x14ac:dyDescent="0.45">
      <c r="A109" s="22">
        <v>42236</v>
      </c>
      <c r="B109" s="15">
        <v>69.779999000000004</v>
      </c>
      <c r="C109" s="15">
        <v>26.92</v>
      </c>
      <c r="D109" s="15">
        <v>59.064332999999998</v>
      </c>
      <c r="E109" s="15">
        <v>15.27</v>
      </c>
      <c r="F109" s="15">
        <v>27.120000999999998</v>
      </c>
      <c r="G109" s="15">
        <v>5.76</v>
      </c>
      <c r="H109" s="15">
        <v>27.98</v>
      </c>
      <c r="I109" s="15">
        <v>14.74</v>
      </c>
      <c r="J109" s="15">
        <v>99.382928000000007</v>
      </c>
      <c r="K109" s="15">
        <v>50.599997999999999</v>
      </c>
      <c r="L109" s="61">
        <f t="shared" si="2"/>
        <v>33694.284238</v>
      </c>
      <c r="V109" s="25">
        <v>4877.4902339999999</v>
      </c>
      <c r="W109" s="61">
        <f t="shared" si="3"/>
        <v>36668.866003842639</v>
      </c>
    </row>
    <row r="110" spans="1:23" x14ac:dyDescent="0.45">
      <c r="A110" s="22">
        <v>42235</v>
      </c>
      <c r="B110" s="15">
        <v>73.059997999999993</v>
      </c>
      <c r="C110" s="15">
        <v>27.92</v>
      </c>
      <c r="D110" s="15">
        <v>60.075740000000003</v>
      </c>
      <c r="E110" s="15">
        <v>15.67</v>
      </c>
      <c r="F110" s="15">
        <v>28.35</v>
      </c>
      <c r="G110" s="15">
        <v>6.25</v>
      </c>
      <c r="H110" s="15">
        <v>28.98</v>
      </c>
      <c r="I110" s="15">
        <v>15.9</v>
      </c>
      <c r="J110" s="15">
        <v>105.771973</v>
      </c>
      <c r="K110" s="15">
        <v>54.669998</v>
      </c>
      <c r="L110" s="61">
        <f t="shared" si="2"/>
        <v>35373.455807999999</v>
      </c>
      <c r="V110" s="25">
        <v>5019.0498049999997</v>
      </c>
      <c r="W110" s="61">
        <f t="shared" si="3"/>
        <v>37733.107794502976</v>
      </c>
    </row>
    <row r="111" spans="1:23" x14ac:dyDescent="0.45">
      <c r="A111" s="22">
        <v>42234</v>
      </c>
      <c r="B111" s="15">
        <v>73.849997999999999</v>
      </c>
      <c r="C111" s="15">
        <v>27.540001</v>
      </c>
      <c r="D111" s="15">
        <v>60.213213000000003</v>
      </c>
      <c r="E111" s="15">
        <v>15.87</v>
      </c>
      <c r="F111" s="15">
        <v>29.76</v>
      </c>
      <c r="G111" s="15">
        <v>6.6</v>
      </c>
      <c r="H111" s="15">
        <v>29.219999000000001</v>
      </c>
      <c r="I111" s="15">
        <v>16.379999000000002</v>
      </c>
      <c r="J111" s="15">
        <v>106.258858</v>
      </c>
      <c r="K111" s="15">
        <v>57.490001999999997</v>
      </c>
      <c r="L111" s="61">
        <f t="shared" si="2"/>
        <v>35891.556381999995</v>
      </c>
      <c r="V111" s="25">
        <v>5059.3500979999999</v>
      </c>
      <c r="W111" s="61">
        <f t="shared" si="3"/>
        <v>38036.084524959835</v>
      </c>
    </row>
    <row r="112" spans="1:23" x14ac:dyDescent="0.45">
      <c r="A112" s="22">
        <v>42233</v>
      </c>
      <c r="B112" s="15">
        <v>73.569999999999993</v>
      </c>
      <c r="C112" s="15">
        <v>27.959999</v>
      </c>
      <c r="D112" s="15">
        <v>60.949675999999997</v>
      </c>
      <c r="E112" s="15">
        <v>16.68</v>
      </c>
      <c r="F112" s="15">
        <v>30.690000999999999</v>
      </c>
      <c r="G112" s="15">
        <v>6.75</v>
      </c>
      <c r="H112" s="15">
        <v>29.299999</v>
      </c>
      <c r="I112" s="15">
        <v>17.219999000000001</v>
      </c>
      <c r="J112" s="15">
        <v>108.355419</v>
      </c>
      <c r="K112" s="15">
        <v>58.549999</v>
      </c>
      <c r="L112" s="61">
        <f t="shared" si="2"/>
        <v>36400.555818999994</v>
      </c>
      <c r="V112" s="25">
        <v>5091.7001950000003</v>
      </c>
      <c r="W112" s="61">
        <f t="shared" si="3"/>
        <v>38279.291853974108</v>
      </c>
    </row>
    <row r="113" spans="1:23" x14ac:dyDescent="0.45">
      <c r="A113" s="22">
        <v>42230</v>
      </c>
      <c r="B113" s="15">
        <v>73.370002999999997</v>
      </c>
      <c r="C113" s="15">
        <v>27.540001</v>
      </c>
      <c r="D113" s="15">
        <v>60.792563999999999</v>
      </c>
      <c r="E113" s="15">
        <v>16.649999999999999</v>
      </c>
      <c r="F113" s="15">
        <v>31.41</v>
      </c>
      <c r="G113" s="15">
        <v>7.14</v>
      </c>
      <c r="H113" s="15">
        <v>28.68</v>
      </c>
      <c r="I113" s="15">
        <v>16.950001</v>
      </c>
      <c r="J113" s="15">
        <v>106.477457</v>
      </c>
      <c r="K113" s="15">
        <v>58.849997999999999</v>
      </c>
      <c r="L113" s="61">
        <f t="shared" si="2"/>
        <v>36272.512372999998</v>
      </c>
      <c r="V113" s="25">
        <v>5048.2402339999999</v>
      </c>
      <c r="W113" s="61">
        <f t="shared" si="3"/>
        <v>37952.560807885609</v>
      </c>
    </row>
    <row r="114" spans="1:23" x14ac:dyDescent="0.45">
      <c r="A114" s="22">
        <v>42229</v>
      </c>
      <c r="B114" s="15">
        <v>73.839995999999999</v>
      </c>
      <c r="C114" s="15">
        <v>27.629999000000002</v>
      </c>
      <c r="D114" s="15">
        <v>60.910397000000003</v>
      </c>
      <c r="E114" s="15">
        <v>16.299999</v>
      </c>
      <c r="F114" s="15">
        <v>31.299999</v>
      </c>
      <c r="G114" s="15">
        <v>6.99</v>
      </c>
      <c r="H114" s="15">
        <v>28.85</v>
      </c>
      <c r="I114" s="15">
        <v>17.700001</v>
      </c>
      <c r="J114" s="15">
        <v>106.835157</v>
      </c>
      <c r="K114" s="15">
        <v>59.5</v>
      </c>
      <c r="L114" s="61">
        <f t="shared" si="2"/>
        <v>36431.583893000003</v>
      </c>
      <c r="V114" s="25">
        <v>5033.5600590000004</v>
      </c>
      <c r="W114" s="61">
        <f t="shared" si="3"/>
        <v>37842.195569994306</v>
      </c>
    </row>
    <row r="115" spans="1:23" x14ac:dyDescent="0.45">
      <c r="A115" s="22">
        <v>42228</v>
      </c>
      <c r="B115" s="15">
        <v>73.919998000000007</v>
      </c>
      <c r="C115" s="15">
        <v>27.469999000000001</v>
      </c>
      <c r="D115" s="15">
        <v>61.450473000000002</v>
      </c>
      <c r="E115" s="15">
        <v>16.739999999999998</v>
      </c>
      <c r="F115" s="15">
        <v>31.709999</v>
      </c>
      <c r="G115" s="15">
        <v>7.05</v>
      </c>
      <c r="H115" s="15">
        <v>28.66</v>
      </c>
      <c r="I115" s="15">
        <v>18.190000999999999</v>
      </c>
      <c r="J115" s="15">
        <v>106.30853399999999</v>
      </c>
      <c r="K115" s="15">
        <v>56.91</v>
      </c>
      <c r="L115" s="61">
        <f t="shared" si="2"/>
        <v>36262.519285000002</v>
      </c>
      <c r="V115" s="25">
        <v>5044.3901370000003</v>
      </c>
      <c r="W115" s="61">
        <f t="shared" si="3"/>
        <v>37923.615861976614</v>
      </c>
    </row>
    <row r="116" spans="1:23" x14ac:dyDescent="0.45">
      <c r="A116" s="22">
        <v>42227</v>
      </c>
      <c r="B116" s="15">
        <v>72.959998999999996</v>
      </c>
      <c r="C116" s="15">
        <v>27.92</v>
      </c>
      <c r="D116" s="15">
        <v>61.421011999999997</v>
      </c>
      <c r="E116" s="15">
        <v>16.610001</v>
      </c>
      <c r="F116" s="15">
        <v>31.34</v>
      </c>
      <c r="G116" s="15">
        <v>6.9</v>
      </c>
      <c r="H116" s="15">
        <v>28.459999</v>
      </c>
      <c r="I116" s="15">
        <v>17.879999000000002</v>
      </c>
      <c r="J116" s="15">
        <v>107.31210400000001</v>
      </c>
      <c r="K116" s="15">
        <v>59.130001</v>
      </c>
      <c r="L116" s="61">
        <f t="shared" si="2"/>
        <v>36379.363552999988</v>
      </c>
      <c r="V116" s="25">
        <v>5036.7900390000004</v>
      </c>
      <c r="W116" s="61">
        <f t="shared" si="3"/>
        <v>37866.478489720001</v>
      </c>
    </row>
    <row r="117" spans="1:23" x14ac:dyDescent="0.45">
      <c r="A117" s="22">
        <v>42226</v>
      </c>
      <c r="B117" s="15">
        <v>75.010002</v>
      </c>
      <c r="C117" s="15">
        <v>28.620000999999998</v>
      </c>
      <c r="D117" s="15">
        <v>62.010184000000002</v>
      </c>
      <c r="E117" s="15">
        <v>16.809999000000001</v>
      </c>
      <c r="F117" s="15">
        <v>32.619999</v>
      </c>
      <c r="G117" s="15">
        <v>7.45</v>
      </c>
      <c r="H117" s="15">
        <v>28.809999000000001</v>
      </c>
      <c r="I117" s="15">
        <v>18.82</v>
      </c>
      <c r="J117" s="15">
        <v>110.292995</v>
      </c>
      <c r="K117" s="15">
        <v>64.739998</v>
      </c>
      <c r="L117" s="61">
        <f t="shared" si="2"/>
        <v>37767.309061</v>
      </c>
      <c r="V117" s="25">
        <v>5101.7998049999997</v>
      </c>
      <c r="W117" s="61">
        <f t="shared" si="3"/>
        <v>38355.220503343713</v>
      </c>
    </row>
    <row r="118" spans="1:23" x14ac:dyDescent="0.45">
      <c r="A118" s="22">
        <v>42223</v>
      </c>
      <c r="B118" s="15">
        <v>74.529999000000004</v>
      </c>
      <c r="C118" s="15">
        <v>27.66</v>
      </c>
      <c r="D118" s="15">
        <v>61.882530000000003</v>
      </c>
      <c r="E118" s="15">
        <v>16.629999000000002</v>
      </c>
      <c r="F118" s="15">
        <v>29.75</v>
      </c>
      <c r="G118" s="15">
        <v>6.99</v>
      </c>
      <c r="H118" s="15">
        <v>28.780000999999999</v>
      </c>
      <c r="I118" s="15">
        <v>18.440000999999999</v>
      </c>
      <c r="J118" s="15">
        <v>108.653503</v>
      </c>
      <c r="K118" s="15">
        <v>63.060001</v>
      </c>
      <c r="L118" s="61">
        <f t="shared" si="2"/>
        <v>36975.911739000003</v>
      </c>
      <c r="V118" s="25">
        <v>5043.5400390000004</v>
      </c>
      <c r="W118" s="61">
        <f t="shared" si="3"/>
        <v>37917.224843613352</v>
      </c>
    </row>
    <row r="119" spans="1:23" x14ac:dyDescent="0.45">
      <c r="A119" s="22">
        <v>42222</v>
      </c>
      <c r="B119" s="15">
        <v>74.419998000000007</v>
      </c>
      <c r="C119" s="15">
        <v>27.889999</v>
      </c>
      <c r="D119" s="15">
        <v>61.705778000000002</v>
      </c>
      <c r="E119" s="15">
        <v>16.540001</v>
      </c>
      <c r="F119" s="15">
        <v>30.610001</v>
      </c>
      <c r="G119" s="15">
        <v>7.41</v>
      </c>
      <c r="H119" s="15">
        <v>28.709999</v>
      </c>
      <c r="I119" s="15">
        <v>18.719999000000001</v>
      </c>
      <c r="J119" s="15">
        <v>107.858603</v>
      </c>
      <c r="K119" s="15">
        <v>62.880001</v>
      </c>
      <c r="L119" s="61">
        <f t="shared" si="2"/>
        <v>37148.496502999995</v>
      </c>
      <c r="V119" s="25">
        <v>5056.4399409999996</v>
      </c>
      <c r="W119" s="61">
        <f t="shared" si="3"/>
        <v>38014.206027625434</v>
      </c>
    </row>
    <row r="120" spans="1:23" x14ac:dyDescent="0.45">
      <c r="A120" s="22">
        <v>42221</v>
      </c>
      <c r="B120" s="15">
        <v>76.029999000000004</v>
      </c>
      <c r="C120" s="15">
        <v>29.200001</v>
      </c>
      <c r="D120" s="15">
        <v>62.727007999999998</v>
      </c>
      <c r="E120" s="15">
        <v>16.43</v>
      </c>
      <c r="F120" s="15">
        <v>28</v>
      </c>
      <c r="G120" s="15">
        <v>6.93</v>
      </c>
      <c r="H120" s="15">
        <v>28.709999</v>
      </c>
      <c r="I120" s="15">
        <v>18.91</v>
      </c>
      <c r="J120" s="15">
        <v>109.825988</v>
      </c>
      <c r="K120" s="15">
        <v>62.669998</v>
      </c>
      <c r="L120" s="61">
        <f t="shared" si="2"/>
        <v>37498.379862999995</v>
      </c>
      <c r="V120" s="25">
        <v>5139.9399409999996</v>
      </c>
      <c r="W120" s="61">
        <f t="shared" si="3"/>
        <v>38641.9572202321</v>
      </c>
    </row>
    <row r="121" spans="1:23" x14ac:dyDescent="0.45">
      <c r="A121" s="22">
        <v>42220</v>
      </c>
      <c r="B121" s="15">
        <v>75.610000999999997</v>
      </c>
      <c r="C121" s="15">
        <v>30.15</v>
      </c>
      <c r="D121" s="15">
        <v>62.304769</v>
      </c>
      <c r="E121" s="15">
        <v>16.209999</v>
      </c>
      <c r="F121" s="15">
        <v>28.4</v>
      </c>
      <c r="G121" s="15">
        <v>6.83</v>
      </c>
      <c r="H121" s="15">
        <v>25.67</v>
      </c>
      <c r="I121" s="15">
        <v>19.010000000000002</v>
      </c>
      <c r="J121" s="15">
        <v>120.91490899999999</v>
      </c>
      <c r="K121" s="15">
        <v>62.080002</v>
      </c>
      <c r="L121" s="61">
        <f t="shared" si="2"/>
        <v>37481.005920000003</v>
      </c>
      <c r="V121" s="25">
        <v>5105.5498049999997</v>
      </c>
      <c r="W121" s="61">
        <f t="shared" si="3"/>
        <v>38383.412922173353</v>
      </c>
    </row>
    <row r="122" spans="1:23" x14ac:dyDescent="0.45">
      <c r="A122" s="22">
        <v>42219</v>
      </c>
      <c r="B122" s="15">
        <v>75.75</v>
      </c>
      <c r="C122" s="15">
        <v>30.32</v>
      </c>
      <c r="D122" s="15">
        <v>63.26708</v>
      </c>
      <c r="E122" s="15">
        <v>15.85</v>
      </c>
      <c r="F122" s="15">
        <v>28.950001</v>
      </c>
      <c r="G122" s="15">
        <v>6.43</v>
      </c>
      <c r="H122" s="15">
        <v>25.52</v>
      </c>
      <c r="I122" s="15">
        <v>19</v>
      </c>
      <c r="J122" s="15">
        <v>120.34854</v>
      </c>
      <c r="K122" s="15">
        <v>62.259998000000003</v>
      </c>
      <c r="L122" s="61">
        <f t="shared" si="2"/>
        <v>37415.690048000004</v>
      </c>
      <c r="V122" s="25">
        <v>5115.3798829999996</v>
      </c>
      <c r="W122" s="61">
        <f t="shared" si="3"/>
        <v>38457.315235801092</v>
      </c>
    </row>
    <row r="123" spans="1:23" x14ac:dyDescent="0.45">
      <c r="A123" s="22">
        <v>42216</v>
      </c>
      <c r="B123" s="15">
        <v>76.709998999999996</v>
      </c>
      <c r="C123" s="15">
        <v>30.92</v>
      </c>
      <c r="D123" s="15">
        <v>63.227800999999999</v>
      </c>
      <c r="E123" s="15">
        <v>15.92</v>
      </c>
      <c r="F123" s="15">
        <v>30.73</v>
      </c>
      <c r="G123" s="15">
        <v>6.67</v>
      </c>
      <c r="H123" s="15">
        <v>25.790001</v>
      </c>
      <c r="I123" s="15">
        <v>18.510000000000002</v>
      </c>
      <c r="J123" s="15">
        <v>119.235671</v>
      </c>
      <c r="K123" s="15">
        <v>62.099997999999999</v>
      </c>
      <c r="L123" s="61">
        <f t="shared" si="2"/>
        <v>37743.680043</v>
      </c>
      <c r="V123" s="25">
        <v>5128.2797849999997</v>
      </c>
      <c r="W123" s="61">
        <f t="shared" si="3"/>
        <v>38554.296419813181</v>
      </c>
    </row>
    <row r="124" spans="1:23" x14ac:dyDescent="0.45">
      <c r="A124" s="22">
        <v>42215</v>
      </c>
      <c r="B124" s="15">
        <v>74.959998999999996</v>
      </c>
      <c r="C124" s="15">
        <v>30.48</v>
      </c>
      <c r="D124" s="15">
        <v>63.247444000000002</v>
      </c>
      <c r="E124" s="15">
        <v>15.72</v>
      </c>
      <c r="F124" s="15">
        <v>32.669998</v>
      </c>
      <c r="G124" s="15">
        <v>6.65</v>
      </c>
      <c r="H124" s="15">
        <v>26.059999000000001</v>
      </c>
      <c r="I124" s="15">
        <v>19.899999999999999</v>
      </c>
      <c r="J124" s="15">
        <v>119.265478</v>
      </c>
      <c r="K124" s="15">
        <v>61.689999</v>
      </c>
      <c r="L124" s="61">
        <f t="shared" si="2"/>
        <v>37629.566143999997</v>
      </c>
      <c r="V124" s="25">
        <v>5128.7797849999997</v>
      </c>
      <c r="W124" s="61">
        <f t="shared" si="3"/>
        <v>38558.055408990462</v>
      </c>
    </row>
    <row r="125" spans="1:23" x14ac:dyDescent="0.45">
      <c r="A125" s="22">
        <v>42214</v>
      </c>
      <c r="B125" s="15">
        <v>73.209998999999996</v>
      </c>
      <c r="C125" s="15">
        <v>30.6</v>
      </c>
      <c r="D125" s="15">
        <v>62.029820000000001</v>
      </c>
      <c r="E125" s="15">
        <v>15.8</v>
      </c>
      <c r="F125" s="15">
        <v>36.490001999999997</v>
      </c>
      <c r="G125" s="15">
        <v>6.79</v>
      </c>
      <c r="H125" s="15">
        <v>25.98</v>
      </c>
      <c r="I125" s="15">
        <v>19.870000999999998</v>
      </c>
      <c r="J125" s="15">
        <v>119.076686</v>
      </c>
      <c r="K125" s="15">
        <v>61.869999</v>
      </c>
      <c r="L125" s="61">
        <f t="shared" si="2"/>
        <v>37587.871543999994</v>
      </c>
      <c r="V125" s="25">
        <v>5111.7299800000001</v>
      </c>
      <c r="W125" s="61">
        <f t="shared" si="3"/>
        <v>38429.875344050815</v>
      </c>
    </row>
    <row r="126" spans="1:23" x14ac:dyDescent="0.45">
      <c r="A126" s="22">
        <v>42213</v>
      </c>
      <c r="B126" s="15">
        <v>73.650002000000001</v>
      </c>
      <c r="C126" s="15">
        <v>30.219999000000001</v>
      </c>
      <c r="D126" s="15">
        <v>61.961084</v>
      </c>
      <c r="E126" s="15">
        <v>15.65</v>
      </c>
      <c r="F126" s="15">
        <v>37.729999999999997</v>
      </c>
      <c r="G126" s="15">
        <v>6.76</v>
      </c>
      <c r="H126" s="15">
        <v>25.709999</v>
      </c>
      <c r="I126" s="15">
        <v>19.75</v>
      </c>
      <c r="J126" s="15">
        <v>117.705479</v>
      </c>
      <c r="K126" s="15">
        <v>62.419998</v>
      </c>
      <c r="L126" s="61">
        <f t="shared" si="2"/>
        <v>37506.678193</v>
      </c>
      <c r="V126" s="25">
        <v>5089.2099609999996</v>
      </c>
      <c r="W126" s="61">
        <f t="shared" si="3"/>
        <v>38260.570328664282</v>
      </c>
    </row>
    <row r="127" spans="1:23" x14ac:dyDescent="0.45">
      <c r="A127" s="22">
        <v>42212</v>
      </c>
      <c r="B127" s="15">
        <v>71.629997000000003</v>
      </c>
      <c r="C127" s="15">
        <v>30.08</v>
      </c>
      <c r="D127" s="15">
        <v>60.8613</v>
      </c>
      <c r="E127" s="15">
        <v>15.68</v>
      </c>
      <c r="F127" s="15">
        <v>36.110000999999997</v>
      </c>
      <c r="G127" s="15">
        <v>6.76</v>
      </c>
      <c r="H127" s="15">
        <v>25.610001</v>
      </c>
      <c r="I127" s="15">
        <v>18.120000999999998</v>
      </c>
      <c r="J127" s="15">
        <v>117.49681699999999</v>
      </c>
      <c r="K127" s="15">
        <v>61.27</v>
      </c>
      <c r="L127" s="61">
        <f t="shared" si="2"/>
        <v>36888.289479999999</v>
      </c>
      <c r="V127" s="25">
        <v>5039.7797849999997</v>
      </c>
      <c r="W127" s="61">
        <f t="shared" si="3"/>
        <v>37888.95533543366</v>
      </c>
    </row>
    <row r="128" spans="1:23" x14ac:dyDescent="0.45">
      <c r="A128" s="22">
        <v>42209</v>
      </c>
      <c r="B128" s="15">
        <v>72.519997000000004</v>
      </c>
      <c r="C128" s="15">
        <v>30.52</v>
      </c>
      <c r="D128" s="15">
        <v>60.527436999999999</v>
      </c>
      <c r="E128" s="15">
        <v>15.36</v>
      </c>
      <c r="F128" s="15">
        <v>34.470001000000003</v>
      </c>
      <c r="G128" s="15">
        <v>7.17</v>
      </c>
      <c r="H128" s="15">
        <v>26.18</v>
      </c>
      <c r="I128" s="15">
        <v>18.34</v>
      </c>
      <c r="J128" s="15">
        <v>118.15261700000001</v>
      </c>
      <c r="K128" s="15">
        <v>62.169998</v>
      </c>
      <c r="L128" s="61">
        <f t="shared" si="2"/>
        <v>37337.219907999999</v>
      </c>
      <c r="V128" s="25">
        <v>5088.6298829999996</v>
      </c>
      <c r="W128" s="61">
        <f t="shared" si="3"/>
        <v>38256.209314816326</v>
      </c>
    </row>
    <row r="129" spans="1:23" x14ac:dyDescent="0.45">
      <c r="A129" s="22">
        <v>42208</v>
      </c>
      <c r="B129" s="15">
        <v>73.510002</v>
      </c>
      <c r="C129" s="15">
        <v>30.629999000000002</v>
      </c>
      <c r="D129" s="15">
        <v>60.664909000000002</v>
      </c>
      <c r="E129" s="15">
        <v>16.68</v>
      </c>
      <c r="F129" s="15">
        <v>33.630001</v>
      </c>
      <c r="G129" s="15">
        <v>7.44</v>
      </c>
      <c r="H129" s="15">
        <v>25.940000999999999</v>
      </c>
      <c r="I129" s="15">
        <v>18.700001</v>
      </c>
      <c r="J129" s="15">
        <v>118.043317</v>
      </c>
      <c r="K129" s="15">
        <v>63.950001</v>
      </c>
      <c r="L129" s="61">
        <f t="shared" si="2"/>
        <v>37801.915270999998</v>
      </c>
      <c r="V129" s="25">
        <v>5146.4101559999999</v>
      </c>
      <c r="W129" s="61">
        <f t="shared" si="3"/>
        <v>38690.600156551518</v>
      </c>
    </row>
    <row r="130" spans="1:23" x14ac:dyDescent="0.45">
      <c r="A130" s="22">
        <v>42207</v>
      </c>
      <c r="B130" s="15">
        <v>72.75</v>
      </c>
      <c r="C130" s="15">
        <v>30.15</v>
      </c>
      <c r="D130" s="15">
        <v>63.031413999999998</v>
      </c>
      <c r="E130" s="15">
        <v>16.239999999999998</v>
      </c>
      <c r="F130" s="15">
        <v>32.869999</v>
      </c>
      <c r="G130" s="15">
        <v>7.46</v>
      </c>
      <c r="H130" s="15">
        <v>25.950001</v>
      </c>
      <c r="I130" s="15">
        <v>18</v>
      </c>
      <c r="J130" s="15">
        <v>118.56994</v>
      </c>
      <c r="K130" s="15">
        <v>61.68</v>
      </c>
      <c r="L130" s="61">
        <f t="shared" si="2"/>
        <v>37416.219014999995</v>
      </c>
      <c r="V130" s="25">
        <v>5171.7700199999999</v>
      </c>
      <c r="W130" s="61">
        <f t="shared" si="3"/>
        <v>38881.255065178382</v>
      </c>
    </row>
    <row r="131" spans="1:23" x14ac:dyDescent="0.45">
      <c r="A131" s="22">
        <v>42206</v>
      </c>
      <c r="B131" s="15">
        <v>72.550003000000004</v>
      </c>
      <c r="C131" s="15">
        <v>30.32</v>
      </c>
      <c r="D131" s="15">
        <v>63.964264</v>
      </c>
      <c r="E131" s="15">
        <v>16.940000999999999</v>
      </c>
      <c r="F131" s="15">
        <v>33.529998999999997</v>
      </c>
      <c r="G131" s="15">
        <v>7.66</v>
      </c>
      <c r="H131" s="15">
        <v>26.09</v>
      </c>
      <c r="I131" s="15">
        <v>18.879999000000002</v>
      </c>
      <c r="J131" s="15">
        <v>118.55006299999999</v>
      </c>
      <c r="K131" s="15">
        <v>62.040000999999997</v>
      </c>
      <c r="L131" s="61">
        <f t="shared" si="2"/>
        <v>37765.425437999991</v>
      </c>
      <c r="V131" s="25">
        <v>5208.1201170000004</v>
      </c>
      <c r="W131" s="61">
        <f t="shared" si="3"/>
        <v>39154.534307610935</v>
      </c>
    </row>
    <row r="132" spans="1:23" x14ac:dyDescent="0.45">
      <c r="A132" s="22">
        <v>42205</v>
      </c>
      <c r="B132" s="15">
        <v>73.480002999999996</v>
      </c>
      <c r="C132" s="15">
        <v>30.25</v>
      </c>
      <c r="D132" s="15">
        <v>62.638632000000001</v>
      </c>
      <c r="E132" s="15">
        <v>16.899999999999999</v>
      </c>
      <c r="F132" s="15">
        <v>31.440000999999999</v>
      </c>
      <c r="G132" s="15">
        <v>7.5</v>
      </c>
      <c r="H132" s="15">
        <v>26.25</v>
      </c>
      <c r="I132" s="15">
        <v>18.889999</v>
      </c>
      <c r="J132" s="15">
        <v>118.818348</v>
      </c>
      <c r="K132" s="15">
        <v>60.799999</v>
      </c>
      <c r="L132" s="61">
        <f t="shared" ref="L132:L195" si="4">SUMPRODUCT($B$1:$K$1,B132:K132)</f>
        <v>37574.582183999999</v>
      </c>
      <c r="V132" s="25">
        <v>5218.8598629999997</v>
      </c>
      <c r="W132" s="61">
        <f t="shared" ref="W132:W195" si="5">V132*$W$254</f>
        <v>39235.275485572514</v>
      </c>
    </row>
    <row r="133" spans="1:23" x14ac:dyDescent="0.45">
      <c r="A133" s="22">
        <v>42202</v>
      </c>
      <c r="B133" s="15">
        <v>72.720000999999996</v>
      </c>
      <c r="C133" s="15">
        <v>30.66</v>
      </c>
      <c r="D133" s="15">
        <v>63.178700999999997</v>
      </c>
      <c r="E133" s="15">
        <v>16.82</v>
      </c>
      <c r="F133" s="15">
        <v>33.590000000000003</v>
      </c>
      <c r="G133" s="15">
        <v>7.53</v>
      </c>
      <c r="H133" s="15">
        <v>25.809999000000001</v>
      </c>
      <c r="I133" s="15">
        <v>20.120000999999998</v>
      </c>
      <c r="J133" s="15">
        <v>118.102932</v>
      </c>
      <c r="K133" s="15">
        <v>56.639999000000003</v>
      </c>
      <c r="L133" s="61">
        <f t="shared" si="4"/>
        <v>37349.072969000001</v>
      </c>
      <c r="V133" s="25">
        <v>5210.1401370000003</v>
      </c>
      <c r="W133" s="61">
        <f t="shared" si="5"/>
        <v>39169.720774246736</v>
      </c>
    </row>
    <row r="134" spans="1:23" x14ac:dyDescent="0.45">
      <c r="A134" s="22">
        <v>42201</v>
      </c>
      <c r="B134" s="15">
        <v>72.629997000000003</v>
      </c>
      <c r="C134" s="15">
        <v>31.219999000000001</v>
      </c>
      <c r="D134" s="15">
        <v>63.384917000000002</v>
      </c>
      <c r="E134" s="15">
        <v>17.07</v>
      </c>
      <c r="F134" s="15">
        <v>34.200001</v>
      </c>
      <c r="G134" s="15">
        <v>7.53</v>
      </c>
      <c r="H134" s="15">
        <v>25.85</v>
      </c>
      <c r="I134" s="15">
        <v>19.610001</v>
      </c>
      <c r="J134" s="15">
        <v>118.311594</v>
      </c>
      <c r="K134" s="15">
        <v>55.240001999999997</v>
      </c>
      <c r="L134" s="61">
        <f t="shared" si="4"/>
        <v>37365.393427000003</v>
      </c>
      <c r="V134" s="25">
        <v>5163.1801759999998</v>
      </c>
      <c r="W134" s="61">
        <f t="shared" si="5"/>
        <v>38816.676803917238</v>
      </c>
    </row>
    <row r="135" spans="1:23" x14ac:dyDescent="0.45">
      <c r="A135" s="22">
        <v>42200</v>
      </c>
      <c r="B135" s="15">
        <v>72.059997999999993</v>
      </c>
      <c r="C135" s="15">
        <v>31.51</v>
      </c>
      <c r="D135" s="15">
        <v>62.727007999999998</v>
      </c>
      <c r="E135" s="15">
        <v>18.07</v>
      </c>
      <c r="F135" s="15">
        <v>33.759998000000003</v>
      </c>
      <c r="G135" s="15">
        <v>7.33</v>
      </c>
      <c r="H135" s="15">
        <v>25.77</v>
      </c>
      <c r="I135" s="15">
        <v>18.889999</v>
      </c>
      <c r="J135" s="15">
        <v>117.546502</v>
      </c>
      <c r="K135" s="15">
        <v>54.5</v>
      </c>
      <c r="L135" s="61">
        <f t="shared" si="4"/>
        <v>37179.705105000001</v>
      </c>
      <c r="V135" s="25">
        <v>5098.9399409999996</v>
      </c>
      <c r="W135" s="61">
        <f t="shared" si="5"/>
        <v>38333.720107694695</v>
      </c>
    </row>
    <row r="136" spans="1:23" x14ac:dyDescent="0.45">
      <c r="A136" s="22">
        <v>42199</v>
      </c>
      <c r="B136" s="15">
        <v>72.290001000000004</v>
      </c>
      <c r="C136" s="15">
        <v>31.65</v>
      </c>
      <c r="D136" s="15">
        <v>62.785922999999997</v>
      </c>
      <c r="E136" s="15">
        <v>18.420000000000002</v>
      </c>
      <c r="F136" s="15">
        <v>34.630001</v>
      </c>
      <c r="G136" s="15">
        <v>7.67</v>
      </c>
      <c r="H136" s="15">
        <v>26.059999000000001</v>
      </c>
      <c r="I136" s="15">
        <v>19.610001</v>
      </c>
      <c r="J136" s="15">
        <v>117.099363</v>
      </c>
      <c r="K136" s="15">
        <v>54.970001000000003</v>
      </c>
      <c r="L136" s="61">
        <f t="shared" si="4"/>
        <v>37548.817210999994</v>
      </c>
      <c r="V136" s="25">
        <v>5104.8901370000003</v>
      </c>
      <c r="W136" s="61">
        <f t="shared" si="5"/>
        <v>38378.453552428153</v>
      </c>
    </row>
    <row r="137" spans="1:23" x14ac:dyDescent="0.45">
      <c r="A137" s="22">
        <v>42198</v>
      </c>
      <c r="B137" s="15">
        <v>71.669998000000007</v>
      </c>
      <c r="C137" s="15">
        <v>32</v>
      </c>
      <c r="D137" s="15">
        <v>62.285128999999998</v>
      </c>
      <c r="E137" s="15">
        <v>18.5</v>
      </c>
      <c r="F137" s="15">
        <v>33.799999</v>
      </c>
      <c r="G137" s="15">
        <v>7.77</v>
      </c>
      <c r="H137" s="15">
        <v>25.889999</v>
      </c>
      <c r="I137" s="15">
        <v>17.610001</v>
      </c>
      <c r="J137" s="15">
        <v>117.29809400000001</v>
      </c>
      <c r="K137" s="15">
        <v>52.110000999999997</v>
      </c>
      <c r="L137" s="61">
        <f t="shared" si="4"/>
        <v>37095.389081000001</v>
      </c>
      <c r="V137" s="25">
        <v>5071.5097660000001</v>
      </c>
      <c r="W137" s="61">
        <f t="shared" si="5"/>
        <v>38127.500645782609</v>
      </c>
    </row>
    <row r="138" spans="1:23" x14ac:dyDescent="0.45">
      <c r="A138" s="22">
        <v>42195</v>
      </c>
      <c r="B138" s="15">
        <v>69.980002999999996</v>
      </c>
      <c r="C138" s="15">
        <v>30.85</v>
      </c>
      <c r="D138" s="15">
        <v>61.597763</v>
      </c>
      <c r="E138" s="15">
        <v>18.079999999999998</v>
      </c>
      <c r="F138" s="15">
        <v>33.060001</v>
      </c>
      <c r="G138" s="15">
        <v>7.51</v>
      </c>
      <c r="H138" s="15">
        <v>25.360001</v>
      </c>
      <c r="I138" s="15">
        <v>17.57</v>
      </c>
      <c r="J138" s="15">
        <v>115.698348</v>
      </c>
      <c r="K138" s="15">
        <v>52.509998000000003</v>
      </c>
      <c r="L138" s="61">
        <f t="shared" si="4"/>
        <v>36368.798882999996</v>
      </c>
      <c r="V138" s="25">
        <v>4997.7001950000003</v>
      </c>
      <c r="W138" s="61">
        <f t="shared" si="5"/>
        <v>37572.601888644451</v>
      </c>
    </row>
    <row r="139" spans="1:23" x14ac:dyDescent="0.45">
      <c r="A139" s="22">
        <v>42194</v>
      </c>
      <c r="B139" s="15">
        <v>69.300003000000004</v>
      </c>
      <c r="C139" s="15">
        <v>30.299999</v>
      </c>
      <c r="D139" s="15">
        <v>60.743467000000003</v>
      </c>
      <c r="E139" s="15">
        <v>17.950001</v>
      </c>
      <c r="F139" s="15">
        <v>32.07</v>
      </c>
      <c r="G139" s="15">
        <v>7.55</v>
      </c>
      <c r="H139" s="15">
        <v>25.129999000000002</v>
      </c>
      <c r="I139" s="15">
        <v>17.149999999999999</v>
      </c>
      <c r="J139" s="15">
        <v>114.863694</v>
      </c>
      <c r="K139" s="15">
        <v>52.040000999999997</v>
      </c>
      <c r="L139" s="61">
        <f t="shared" si="4"/>
        <v>35952.524248000002</v>
      </c>
      <c r="V139" s="25">
        <v>4922.3999020000001</v>
      </c>
      <c r="W139" s="61">
        <f t="shared" si="5"/>
        <v>37006.495915777603</v>
      </c>
    </row>
    <row r="140" spans="1:23" x14ac:dyDescent="0.45">
      <c r="A140" s="22">
        <v>42193</v>
      </c>
      <c r="B140" s="15">
        <v>68.860000999999997</v>
      </c>
      <c r="C140" s="15">
        <v>30.379999000000002</v>
      </c>
      <c r="D140" s="15">
        <v>60.792563999999999</v>
      </c>
      <c r="E140" s="15">
        <v>18.059999000000001</v>
      </c>
      <c r="F140" s="15">
        <v>34.029998999999997</v>
      </c>
      <c r="G140" s="15">
        <v>6.94</v>
      </c>
      <c r="H140" s="15">
        <v>24.799999</v>
      </c>
      <c r="I140" s="15">
        <v>17.629999000000002</v>
      </c>
      <c r="J140" s="15">
        <v>114.45631</v>
      </c>
      <c r="K140" s="15">
        <v>51.25</v>
      </c>
      <c r="L140" s="61">
        <f t="shared" si="4"/>
        <v>35708.696997999999</v>
      </c>
      <c r="V140" s="25">
        <v>4909.7597660000001</v>
      </c>
      <c r="W140" s="61">
        <f t="shared" si="5"/>
        <v>36911.467646930774</v>
      </c>
    </row>
    <row r="141" spans="1:23" x14ac:dyDescent="0.45">
      <c r="A141" s="22">
        <v>42192</v>
      </c>
      <c r="B141" s="15">
        <v>70.110000999999997</v>
      </c>
      <c r="C141" s="15">
        <v>30.57</v>
      </c>
      <c r="D141" s="15">
        <v>61.666499000000002</v>
      </c>
      <c r="E141" s="15">
        <v>18.350000000000001</v>
      </c>
      <c r="F141" s="15">
        <v>34.490001999999997</v>
      </c>
      <c r="G141" s="15">
        <v>6.9</v>
      </c>
      <c r="H141" s="15">
        <v>25.049999</v>
      </c>
      <c r="I141" s="15">
        <v>18.200001</v>
      </c>
      <c r="J141" s="15">
        <v>116.35414</v>
      </c>
      <c r="K141" s="15">
        <v>52.25</v>
      </c>
      <c r="L141" s="61">
        <f t="shared" si="4"/>
        <v>36187.449260000001</v>
      </c>
      <c r="V141" s="25">
        <v>4997.4599609999996</v>
      </c>
      <c r="W141" s="61">
        <f t="shared" si="5"/>
        <v>37570.795814632409</v>
      </c>
    </row>
    <row r="142" spans="1:23" x14ac:dyDescent="0.45">
      <c r="A142" s="22">
        <v>42191</v>
      </c>
      <c r="B142" s="15">
        <v>69.760002</v>
      </c>
      <c r="C142" s="15">
        <v>30.559999000000001</v>
      </c>
      <c r="D142" s="15">
        <v>61.970905999999999</v>
      </c>
      <c r="E142" s="15">
        <v>18.489999999999998</v>
      </c>
      <c r="F142" s="15">
        <v>34.040000999999997</v>
      </c>
      <c r="G142" s="15">
        <v>7.13</v>
      </c>
      <c r="H142" s="15">
        <v>24.82</v>
      </c>
      <c r="I142" s="15">
        <v>18.32</v>
      </c>
      <c r="J142" s="15">
        <v>114.96305599999999</v>
      </c>
      <c r="K142" s="15">
        <v>50.939999</v>
      </c>
      <c r="L142" s="61">
        <f t="shared" si="4"/>
        <v>36057.076869000004</v>
      </c>
      <c r="V142" s="25">
        <v>4991.9399409999996</v>
      </c>
      <c r="W142" s="61">
        <f t="shared" si="5"/>
        <v>37529.296423755615</v>
      </c>
    </row>
    <row r="143" spans="1:23" x14ac:dyDescent="0.45">
      <c r="A143" s="22">
        <v>42187</v>
      </c>
      <c r="B143" s="15">
        <v>69.910004000000001</v>
      </c>
      <c r="C143" s="15">
        <v>30.809999000000001</v>
      </c>
      <c r="D143" s="15">
        <v>61.970905999999999</v>
      </c>
      <c r="E143" s="15">
        <v>18.68</v>
      </c>
      <c r="F143" s="15">
        <v>34.560001</v>
      </c>
      <c r="G143" s="15">
        <v>8.32</v>
      </c>
      <c r="H143" s="15">
        <v>24.629999000000002</v>
      </c>
      <c r="I143" s="15">
        <v>19.07</v>
      </c>
      <c r="J143" s="15">
        <v>114.23771000000001</v>
      </c>
      <c r="K143" s="15">
        <v>51.75</v>
      </c>
      <c r="L143" s="61">
        <f t="shared" si="4"/>
        <v>36658.866634999998</v>
      </c>
      <c r="V143" s="25">
        <v>5009.2099609999996</v>
      </c>
      <c r="W143" s="61">
        <f t="shared" si="5"/>
        <v>37659.132060298616</v>
      </c>
    </row>
    <row r="144" spans="1:23" x14ac:dyDescent="0.45">
      <c r="A144" s="22">
        <v>42186</v>
      </c>
      <c r="B144" s="15">
        <v>70.370002999999997</v>
      </c>
      <c r="C144" s="15">
        <v>30.41</v>
      </c>
      <c r="D144" s="15">
        <v>61.764696999999998</v>
      </c>
      <c r="E144" s="15">
        <v>18.68</v>
      </c>
      <c r="F144" s="15">
        <v>34.330002</v>
      </c>
      <c r="G144" s="15">
        <v>8.42</v>
      </c>
      <c r="H144" s="15">
        <v>24.73</v>
      </c>
      <c r="I144" s="15">
        <v>18.780000999999999</v>
      </c>
      <c r="J144" s="15">
        <v>114.396687</v>
      </c>
      <c r="K144" s="15">
        <v>51.950001</v>
      </c>
      <c r="L144" s="61">
        <f t="shared" si="4"/>
        <v>36630.976005999997</v>
      </c>
      <c r="V144" s="25">
        <v>5013.1201170000004</v>
      </c>
      <c r="W144" s="61">
        <f t="shared" si="5"/>
        <v>37688.528528469622</v>
      </c>
    </row>
    <row r="145" spans="1:23" x14ac:dyDescent="0.45">
      <c r="A145" s="22">
        <v>42185</v>
      </c>
      <c r="B145" s="15">
        <v>69.819999999999993</v>
      </c>
      <c r="C145" s="15">
        <v>30.6</v>
      </c>
      <c r="D145" s="15">
        <v>61.499569999999999</v>
      </c>
      <c r="E145" s="15">
        <v>18.559999000000001</v>
      </c>
      <c r="F145" s="15">
        <v>34.93</v>
      </c>
      <c r="G145" s="15">
        <v>8.41</v>
      </c>
      <c r="H145" s="15">
        <v>24.209999</v>
      </c>
      <c r="I145" s="15">
        <v>18.84</v>
      </c>
      <c r="J145" s="15">
        <v>112.7572</v>
      </c>
      <c r="K145" s="15">
        <v>52.720001000000003</v>
      </c>
      <c r="L145" s="61">
        <f t="shared" si="4"/>
        <v>36566.224364000002</v>
      </c>
      <c r="V145" s="25">
        <v>4986.8701170000004</v>
      </c>
      <c r="W145" s="61">
        <f t="shared" si="5"/>
        <v>37491.181596662136</v>
      </c>
    </row>
    <row r="146" spans="1:23" x14ac:dyDescent="0.45">
      <c r="A146" s="22">
        <v>42184</v>
      </c>
      <c r="B146" s="15">
        <v>69.180000000000007</v>
      </c>
      <c r="C146" s="15">
        <v>30.82</v>
      </c>
      <c r="D146" s="15">
        <v>61.489747999999999</v>
      </c>
      <c r="E146" s="15">
        <v>18.600000000000001</v>
      </c>
      <c r="F146" s="15">
        <v>35.799999</v>
      </c>
      <c r="G146" s="15">
        <v>8.1300000000000008</v>
      </c>
      <c r="H146" s="15">
        <v>24.49</v>
      </c>
      <c r="I146" s="15">
        <v>18.73</v>
      </c>
      <c r="J146" s="15">
        <v>111.680409</v>
      </c>
      <c r="K146" s="15">
        <v>53.209999000000003</v>
      </c>
      <c r="L146" s="61">
        <f t="shared" si="4"/>
        <v>36535.029548999999</v>
      </c>
      <c r="V146" s="25">
        <v>4958.4702150000003</v>
      </c>
      <c r="W146" s="61">
        <f t="shared" si="5"/>
        <v>37277.6717481542</v>
      </c>
    </row>
    <row r="147" spans="1:23" x14ac:dyDescent="0.45">
      <c r="A147" s="22">
        <v>42181</v>
      </c>
      <c r="B147" s="15">
        <v>71.129997000000003</v>
      </c>
      <c r="C147" s="15">
        <v>31.459999</v>
      </c>
      <c r="D147" s="15">
        <v>63.502746000000002</v>
      </c>
      <c r="E147" s="15">
        <v>19.059999000000001</v>
      </c>
      <c r="F147" s="15">
        <v>36.659999999999997</v>
      </c>
      <c r="G147" s="15">
        <v>8.48</v>
      </c>
      <c r="H147" s="15">
        <v>25.040001</v>
      </c>
      <c r="I147" s="15">
        <v>19.66</v>
      </c>
      <c r="J147" s="15">
        <v>113.596901</v>
      </c>
      <c r="K147" s="15">
        <v>54.130001</v>
      </c>
      <c r="L147" s="61">
        <f t="shared" si="4"/>
        <v>37480.413933999997</v>
      </c>
      <c r="V147" s="25">
        <v>5080.5097660000001</v>
      </c>
      <c r="W147" s="61">
        <f t="shared" si="5"/>
        <v>38195.162450973745</v>
      </c>
    </row>
    <row r="148" spans="1:23" x14ac:dyDescent="0.45">
      <c r="A148" s="22">
        <v>42180</v>
      </c>
      <c r="B148" s="15">
        <v>71.370002999999997</v>
      </c>
      <c r="C148" s="15">
        <v>31.99</v>
      </c>
      <c r="D148" s="15">
        <v>64.082100999999994</v>
      </c>
      <c r="E148" s="15">
        <v>19.02</v>
      </c>
      <c r="F148" s="15">
        <v>37.540000999999997</v>
      </c>
      <c r="G148" s="15">
        <v>9.0500000000000007</v>
      </c>
      <c r="H148" s="15">
        <v>25.4</v>
      </c>
      <c r="I148" s="15">
        <v>24.02</v>
      </c>
      <c r="J148" s="15">
        <v>113.06344199999999</v>
      </c>
      <c r="K148" s="15">
        <v>56.91</v>
      </c>
      <c r="L148" s="61">
        <f t="shared" si="4"/>
        <v>38582.75864</v>
      </c>
      <c r="V148" s="25">
        <v>5112.1899409999996</v>
      </c>
      <c r="W148" s="61">
        <f t="shared" si="5"/>
        <v>38433.333320892758</v>
      </c>
    </row>
    <row r="149" spans="1:23" x14ac:dyDescent="0.45">
      <c r="A149" s="22">
        <v>42179</v>
      </c>
      <c r="B149" s="15">
        <v>71.330001999999993</v>
      </c>
      <c r="C149" s="15">
        <v>32.400002000000001</v>
      </c>
      <c r="D149" s="15">
        <v>64.170473000000001</v>
      </c>
      <c r="E149" s="15">
        <v>18.969999000000001</v>
      </c>
      <c r="F149" s="15">
        <v>37.740001999999997</v>
      </c>
      <c r="G149" s="15">
        <v>8.84</v>
      </c>
      <c r="H149" s="15">
        <v>25.440000999999999</v>
      </c>
      <c r="I149" s="15">
        <v>24.059999000000001</v>
      </c>
      <c r="J149" s="15">
        <v>112.39167999999999</v>
      </c>
      <c r="K149" s="15">
        <v>57.049999</v>
      </c>
      <c r="L149" s="61">
        <f t="shared" si="4"/>
        <v>38619.624687000003</v>
      </c>
      <c r="V149" s="25">
        <v>5122.4101559999999</v>
      </c>
      <c r="W149" s="61">
        <f t="shared" si="5"/>
        <v>38510.168676041816</v>
      </c>
    </row>
    <row r="150" spans="1:23" x14ac:dyDescent="0.45">
      <c r="A150" s="22">
        <v>42178</v>
      </c>
      <c r="B150" s="15">
        <v>72.230002999999996</v>
      </c>
      <c r="C150" s="15">
        <v>32.869999</v>
      </c>
      <c r="D150" s="15">
        <v>65.771056999999999</v>
      </c>
      <c r="E150" s="15">
        <v>19</v>
      </c>
      <c r="F150" s="15">
        <v>38.93</v>
      </c>
      <c r="G150" s="15">
        <v>9.08</v>
      </c>
      <c r="H150" s="15">
        <v>25.42</v>
      </c>
      <c r="I150" s="15">
        <v>24.49</v>
      </c>
      <c r="J150" s="15">
        <v>113.023933</v>
      </c>
      <c r="K150" s="15">
        <v>56.759998000000003</v>
      </c>
      <c r="L150" s="61">
        <f t="shared" si="4"/>
        <v>39056.000708000007</v>
      </c>
      <c r="V150" s="25">
        <v>5160.0898440000001</v>
      </c>
      <c r="W150" s="61">
        <f t="shared" si="5"/>
        <v>38793.443754832806</v>
      </c>
    </row>
    <row r="151" spans="1:23" x14ac:dyDescent="0.45">
      <c r="A151" s="22">
        <v>42177</v>
      </c>
      <c r="B151" s="15">
        <v>73.010002</v>
      </c>
      <c r="C151" s="15">
        <v>32.619999</v>
      </c>
      <c r="D151" s="15">
        <v>66.144195999999994</v>
      </c>
      <c r="E151" s="15">
        <v>18.780000999999999</v>
      </c>
      <c r="F151" s="15">
        <v>37.979999999999997</v>
      </c>
      <c r="G151" s="15">
        <v>8.9499999999999993</v>
      </c>
      <c r="H151" s="15">
        <v>25.23</v>
      </c>
      <c r="I151" s="15">
        <v>24.629999000000002</v>
      </c>
      <c r="J151" s="15">
        <v>112.154589</v>
      </c>
      <c r="K151" s="15">
        <v>54.919998</v>
      </c>
      <c r="L151" s="61">
        <f t="shared" si="4"/>
        <v>38792.427224999999</v>
      </c>
      <c r="V151" s="25">
        <v>5153.9702150000003</v>
      </c>
      <c r="W151" s="61">
        <f t="shared" si="5"/>
        <v>38747.436516472801</v>
      </c>
    </row>
    <row r="152" spans="1:23" x14ac:dyDescent="0.45">
      <c r="A152" s="22">
        <v>42174</v>
      </c>
      <c r="B152" s="15">
        <v>72.290001000000004</v>
      </c>
      <c r="C152" s="15">
        <v>32.240001999999997</v>
      </c>
      <c r="D152" s="15">
        <v>65.672855999999996</v>
      </c>
      <c r="E152" s="15">
        <v>18.41</v>
      </c>
      <c r="F152" s="15">
        <v>36.979999999999997</v>
      </c>
      <c r="G152" s="15">
        <v>8.8000000000000007</v>
      </c>
      <c r="H152" s="15">
        <v>25.01</v>
      </c>
      <c r="I152" s="15">
        <v>24.469999000000001</v>
      </c>
      <c r="J152" s="15">
        <v>111.255618</v>
      </c>
      <c r="K152" s="15">
        <v>57.970001000000003</v>
      </c>
      <c r="L152" s="61">
        <f t="shared" si="4"/>
        <v>38694.901936000002</v>
      </c>
      <c r="V152" s="25">
        <v>5117</v>
      </c>
      <c r="W152" s="61">
        <f t="shared" si="5"/>
        <v>38469.495240338969</v>
      </c>
    </row>
    <row r="153" spans="1:23" x14ac:dyDescent="0.45">
      <c r="A153" s="22">
        <v>42173</v>
      </c>
      <c r="B153" s="15">
        <v>73.269997000000004</v>
      </c>
      <c r="C153" s="15">
        <v>32.049999</v>
      </c>
      <c r="D153" s="15">
        <v>66.144195999999994</v>
      </c>
      <c r="E153" s="15">
        <v>19.09</v>
      </c>
      <c r="F153" s="15">
        <v>37.409999999999997</v>
      </c>
      <c r="G153" s="15">
        <v>9.39</v>
      </c>
      <c r="H153" s="15">
        <v>25.139999</v>
      </c>
      <c r="I153" s="15">
        <v>24.469999000000001</v>
      </c>
      <c r="J153" s="15">
        <v>111.848347</v>
      </c>
      <c r="K153" s="15">
        <v>58.279998999999997</v>
      </c>
      <c r="L153" s="61">
        <f t="shared" si="4"/>
        <v>39099.529329000005</v>
      </c>
      <c r="V153" s="25">
        <v>5132.9501950000003</v>
      </c>
      <c r="W153" s="61">
        <f t="shared" si="5"/>
        <v>38589.408461100153</v>
      </c>
    </row>
    <row r="154" spans="1:23" x14ac:dyDescent="0.45">
      <c r="A154" s="22">
        <v>42172</v>
      </c>
      <c r="B154" s="15">
        <v>72.809997999999993</v>
      </c>
      <c r="C154" s="15">
        <v>31.809999000000001</v>
      </c>
      <c r="D154" s="15">
        <v>65.348817999999994</v>
      </c>
      <c r="E154" s="15">
        <v>19.25</v>
      </c>
      <c r="F154" s="15">
        <v>37.009998000000003</v>
      </c>
      <c r="G154" s="15">
        <v>9.75</v>
      </c>
      <c r="H154" s="15">
        <v>24.870000999999998</v>
      </c>
      <c r="I154" s="15">
        <v>24.48</v>
      </c>
      <c r="J154" s="15">
        <v>110.139303</v>
      </c>
      <c r="K154" s="15">
        <v>59</v>
      </c>
      <c r="L154" s="61">
        <f t="shared" si="4"/>
        <v>39051.169625000002</v>
      </c>
      <c r="V154" s="25">
        <v>5064.8798829999996</v>
      </c>
      <c r="W154" s="61">
        <f t="shared" si="5"/>
        <v>38077.657328895264</v>
      </c>
    </row>
    <row r="155" spans="1:23" x14ac:dyDescent="0.45">
      <c r="A155" s="22">
        <v>42171</v>
      </c>
      <c r="B155" s="15">
        <v>72.849997999999999</v>
      </c>
      <c r="C155" s="15">
        <v>31.67</v>
      </c>
      <c r="D155" s="15">
        <v>65.260439000000005</v>
      </c>
      <c r="E155" s="15">
        <v>19.610001</v>
      </c>
      <c r="F155" s="15">
        <v>35.900002000000001</v>
      </c>
      <c r="G155" s="15">
        <v>8.94</v>
      </c>
      <c r="H155" s="15">
        <v>24.74</v>
      </c>
      <c r="I155" s="15">
        <v>24.24</v>
      </c>
      <c r="J155" s="15">
        <v>109.714512</v>
      </c>
      <c r="K155" s="15">
        <v>58.189999</v>
      </c>
      <c r="L155" s="61">
        <f t="shared" si="4"/>
        <v>38613.327160999994</v>
      </c>
      <c r="V155" s="25">
        <v>5055.5498049999997</v>
      </c>
      <c r="W155" s="61">
        <f t="shared" si="5"/>
        <v>38007.514004444805</v>
      </c>
    </row>
    <row r="156" spans="1:23" x14ac:dyDescent="0.45">
      <c r="A156" s="22">
        <v>42170</v>
      </c>
      <c r="B156" s="15">
        <v>72.5</v>
      </c>
      <c r="C156" s="15">
        <v>32.159999999999997</v>
      </c>
      <c r="D156" s="15">
        <v>65.427368000000001</v>
      </c>
      <c r="E156" s="15">
        <v>19.5</v>
      </c>
      <c r="F156" s="15">
        <v>35.369999</v>
      </c>
      <c r="G156" s="15">
        <v>9.3000000000000007</v>
      </c>
      <c r="H156" s="15">
        <v>24.540001</v>
      </c>
      <c r="I156" s="15">
        <v>24.24</v>
      </c>
      <c r="J156" s="15">
        <v>108.845176</v>
      </c>
      <c r="K156" s="15">
        <v>58.52</v>
      </c>
      <c r="L156" s="61">
        <f t="shared" si="4"/>
        <v>38779.443794999999</v>
      </c>
      <c r="V156" s="25">
        <v>5029.9702150000003</v>
      </c>
      <c r="W156" s="61">
        <f t="shared" si="5"/>
        <v>37815.207200506018</v>
      </c>
    </row>
    <row r="157" spans="1:23" x14ac:dyDescent="0.45">
      <c r="A157" s="22">
        <v>42167</v>
      </c>
      <c r="B157" s="15">
        <v>73.440002000000007</v>
      </c>
      <c r="C157" s="15">
        <v>32.32</v>
      </c>
      <c r="D157" s="15">
        <v>65.820149999999998</v>
      </c>
      <c r="E157" s="15">
        <v>19.950001</v>
      </c>
      <c r="F157" s="15">
        <v>35.330002</v>
      </c>
      <c r="G157" s="15">
        <v>9.9499999999999993</v>
      </c>
      <c r="H157" s="15">
        <v>25.4</v>
      </c>
      <c r="I157" s="15">
        <v>25.129999000000002</v>
      </c>
      <c r="J157" s="15">
        <v>108.617959</v>
      </c>
      <c r="K157" s="15">
        <v>57.450001</v>
      </c>
      <c r="L157" s="61">
        <f t="shared" si="4"/>
        <v>39290.946607999998</v>
      </c>
      <c r="V157" s="25">
        <v>5051.1000979999999</v>
      </c>
      <c r="W157" s="61">
        <f t="shared" si="5"/>
        <v>37974.061203534628</v>
      </c>
    </row>
    <row r="158" spans="1:23" x14ac:dyDescent="0.45">
      <c r="A158" s="22">
        <v>42166</v>
      </c>
      <c r="B158" s="15">
        <v>74.050003000000004</v>
      </c>
      <c r="C158" s="15">
        <v>32.150002000000001</v>
      </c>
      <c r="D158" s="15">
        <v>66.379862000000003</v>
      </c>
      <c r="E158" s="15">
        <v>19.98</v>
      </c>
      <c r="F158" s="15">
        <v>36.220001000000003</v>
      </c>
      <c r="G158" s="15">
        <v>9.15</v>
      </c>
      <c r="H158" s="15">
        <v>25.299999</v>
      </c>
      <c r="I158" s="15">
        <v>25.02</v>
      </c>
      <c r="J158" s="15">
        <v>109.279848</v>
      </c>
      <c r="K158" s="15">
        <v>55.990001999999997</v>
      </c>
      <c r="L158" s="61">
        <f t="shared" si="4"/>
        <v>38961.439407000005</v>
      </c>
      <c r="V158" s="25">
        <v>5082.5097660000001</v>
      </c>
      <c r="W158" s="61">
        <f t="shared" si="5"/>
        <v>38210.198407682889</v>
      </c>
    </row>
    <row r="159" spans="1:23" x14ac:dyDescent="0.45">
      <c r="A159" s="22">
        <v>42165</v>
      </c>
      <c r="B159" s="15">
        <v>74.610000999999997</v>
      </c>
      <c r="C159" s="15">
        <v>32.459999000000003</v>
      </c>
      <c r="D159" s="15">
        <v>66.095095000000001</v>
      </c>
      <c r="E159" s="15">
        <v>19.739999999999998</v>
      </c>
      <c r="F159" s="15">
        <v>37.07</v>
      </c>
      <c r="G159" s="15">
        <v>8.82</v>
      </c>
      <c r="H159" s="15">
        <v>25.5</v>
      </c>
      <c r="I159" s="15">
        <v>25.190000999999999</v>
      </c>
      <c r="J159" s="15">
        <v>108.667356</v>
      </c>
      <c r="K159" s="15">
        <v>57.91</v>
      </c>
      <c r="L159" s="61">
        <f t="shared" si="4"/>
        <v>39177.795374999994</v>
      </c>
      <c r="V159" s="25">
        <v>5076.6899409999996</v>
      </c>
      <c r="W159" s="61">
        <f t="shared" si="5"/>
        <v>38166.445089305489</v>
      </c>
    </row>
    <row r="160" spans="1:23" x14ac:dyDescent="0.45">
      <c r="A160" s="22">
        <v>42164</v>
      </c>
      <c r="B160" s="15">
        <v>72.900002000000001</v>
      </c>
      <c r="C160" s="15">
        <v>32.840000000000003</v>
      </c>
      <c r="D160" s="15">
        <v>65.633577000000002</v>
      </c>
      <c r="E160" s="15">
        <v>19.350000000000001</v>
      </c>
      <c r="F160" s="15">
        <v>37.060001</v>
      </c>
      <c r="G160" s="15">
        <v>8.57</v>
      </c>
      <c r="H160" s="15">
        <v>25.52</v>
      </c>
      <c r="I160" s="15">
        <v>25.190000999999999</v>
      </c>
      <c r="J160" s="15">
        <v>107.20528299999999</v>
      </c>
      <c r="K160" s="15">
        <v>58.68</v>
      </c>
      <c r="L160" s="61">
        <f t="shared" si="4"/>
        <v>38992.047664999998</v>
      </c>
      <c r="V160" s="25">
        <v>5013.8701170000004</v>
      </c>
      <c r="W160" s="61">
        <f t="shared" si="5"/>
        <v>37694.16701223555</v>
      </c>
    </row>
    <row r="161" spans="1:23" x14ac:dyDescent="0.45">
      <c r="A161" s="22">
        <v>42163</v>
      </c>
      <c r="B161" s="15">
        <v>74.889999000000003</v>
      </c>
      <c r="C161" s="15">
        <v>33.18</v>
      </c>
      <c r="D161" s="15">
        <v>66.065638000000007</v>
      </c>
      <c r="E161" s="15">
        <v>19.530000999999999</v>
      </c>
      <c r="F161" s="15">
        <v>37.060001</v>
      </c>
      <c r="G161" s="15">
        <v>8.3800000000000008</v>
      </c>
      <c r="H161" s="15">
        <v>25.440000999999999</v>
      </c>
      <c r="I161" s="15">
        <v>25.92</v>
      </c>
      <c r="J161" s="15">
        <v>107.965959</v>
      </c>
      <c r="K161" s="15">
        <v>59.400002000000001</v>
      </c>
      <c r="L161" s="61">
        <f t="shared" si="4"/>
        <v>39395.041009</v>
      </c>
      <c r="V161" s="25">
        <v>5021.6298829999996</v>
      </c>
      <c r="W161" s="61">
        <f t="shared" si="5"/>
        <v>37752.504765060075</v>
      </c>
    </row>
    <row r="162" spans="1:23" x14ac:dyDescent="0.45">
      <c r="A162" s="22">
        <v>42160</v>
      </c>
      <c r="B162" s="15">
        <v>75.239998</v>
      </c>
      <c r="C162" s="15">
        <v>33.900002000000001</v>
      </c>
      <c r="D162" s="15">
        <v>67.027952999999997</v>
      </c>
      <c r="E162" s="15">
        <v>19.829999999999998</v>
      </c>
      <c r="F162" s="15">
        <v>37.990001999999997</v>
      </c>
      <c r="G162" s="15">
        <v>8.52</v>
      </c>
      <c r="H162" s="15">
        <v>25.77</v>
      </c>
      <c r="I162" s="15">
        <v>26.59</v>
      </c>
      <c r="J162" s="15">
        <v>108.963725</v>
      </c>
      <c r="K162" s="15">
        <v>59.41</v>
      </c>
      <c r="L162" s="61">
        <f t="shared" si="4"/>
        <v>39899.759760000001</v>
      </c>
      <c r="V162" s="25">
        <v>5068.4599609999996</v>
      </c>
      <c r="W162" s="61">
        <f t="shared" si="5"/>
        <v>38104.572277806939</v>
      </c>
    </row>
    <row r="163" spans="1:23" x14ac:dyDescent="0.45">
      <c r="A163" s="22">
        <v>42159</v>
      </c>
      <c r="B163" s="15">
        <v>75.139999000000003</v>
      </c>
      <c r="C163" s="15">
        <v>33.82</v>
      </c>
      <c r="D163" s="15">
        <v>67.656401000000002</v>
      </c>
      <c r="E163" s="15">
        <v>20.02</v>
      </c>
      <c r="F163" s="15">
        <v>35.650002000000001</v>
      </c>
      <c r="G163" s="15">
        <v>8.2100000000000009</v>
      </c>
      <c r="H163" s="15">
        <v>25.690000999999999</v>
      </c>
      <c r="I163" s="15">
        <v>26.99</v>
      </c>
      <c r="J163" s="15">
        <v>108.963725</v>
      </c>
      <c r="K163" s="15">
        <v>58.880001</v>
      </c>
      <c r="L163" s="61">
        <f t="shared" si="4"/>
        <v>39721.191995999994</v>
      </c>
      <c r="V163" s="25">
        <v>5059.1201170000004</v>
      </c>
      <c r="W163" s="61">
        <f t="shared" si="5"/>
        <v>38034.355532779882</v>
      </c>
    </row>
    <row r="164" spans="1:23" x14ac:dyDescent="0.45">
      <c r="A164" s="22">
        <v>42158</v>
      </c>
      <c r="B164" s="15">
        <v>76.019997000000004</v>
      </c>
      <c r="C164" s="15">
        <v>33.840000000000003</v>
      </c>
      <c r="D164" s="15">
        <v>68.599072000000007</v>
      </c>
      <c r="E164" s="15">
        <v>20.43</v>
      </c>
      <c r="F164" s="15">
        <v>35.82</v>
      </c>
      <c r="G164" s="15">
        <v>8.15</v>
      </c>
      <c r="H164" s="15">
        <v>25.959999</v>
      </c>
      <c r="I164" s="15">
        <v>27.08</v>
      </c>
      <c r="J164" s="15">
        <v>109.82317999999999</v>
      </c>
      <c r="K164" s="15">
        <v>59.029998999999997</v>
      </c>
      <c r="L164" s="61">
        <f t="shared" si="4"/>
        <v>39967.138463999996</v>
      </c>
      <c r="V164" s="25">
        <v>5099.2299800000001</v>
      </c>
      <c r="W164" s="61">
        <f t="shared" si="5"/>
        <v>38335.90061461868</v>
      </c>
    </row>
    <row r="165" spans="1:23" x14ac:dyDescent="0.45">
      <c r="A165" s="22">
        <v>42157</v>
      </c>
      <c r="B165" s="15">
        <v>75.459998999999996</v>
      </c>
      <c r="C165" s="15">
        <v>33.18</v>
      </c>
      <c r="D165" s="15">
        <v>68.098275000000001</v>
      </c>
      <c r="E165" s="15">
        <v>19.799999</v>
      </c>
      <c r="F165" s="15">
        <v>35.369999</v>
      </c>
      <c r="G165" s="15">
        <v>7.82</v>
      </c>
      <c r="H165" s="15">
        <v>25.530000999999999</v>
      </c>
      <c r="I165" s="15">
        <v>27.790001</v>
      </c>
      <c r="J165" s="15">
        <v>109.40827</v>
      </c>
      <c r="K165" s="15">
        <v>58.400002000000001</v>
      </c>
      <c r="L165" s="61">
        <f t="shared" si="4"/>
        <v>39481.042059999992</v>
      </c>
      <c r="V165" s="25">
        <v>5076.5200199999999</v>
      </c>
      <c r="W165" s="61">
        <f t="shared" si="5"/>
        <v>38165.16762690551</v>
      </c>
    </row>
    <row r="166" spans="1:23" x14ac:dyDescent="0.45">
      <c r="A166" s="22">
        <v>42156</v>
      </c>
      <c r="B166" s="15">
        <v>75.230002999999996</v>
      </c>
      <c r="C166" s="15">
        <v>32.669998</v>
      </c>
      <c r="D166" s="15">
        <v>68.167012</v>
      </c>
      <c r="E166" s="15">
        <v>19.799999</v>
      </c>
      <c r="F166" s="15">
        <v>35.32</v>
      </c>
      <c r="G166" s="15">
        <v>7.46</v>
      </c>
      <c r="H166" s="15">
        <v>25.4</v>
      </c>
      <c r="I166" s="15">
        <v>28.42</v>
      </c>
      <c r="J166" s="15">
        <v>109.615725</v>
      </c>
      <c r="K166" s="15">
        <v>58.52</v>
      </c>
      <c r="L166" s="61">
        <f t="shared" si="4"/>
        <v>39270.382067999999</v>
      </c>
      <c r="V166" s="25">
        <v>5082.9301759999998</v>
      </c>
      <c r="W166" s="61">
        <f t="shared" si="5"/>
        <v>38213.359040962932</v>
      </c>
    </row>
    <row r="167" spans="1:23" x14ac:dyDescent="0.45">
      <c r="A167" s="22">
        <v>42153</v>
      </c>
      <c r="B167" s="15">
        <v>76.269997000000004</v>
      </c>
      <c r="C167" s="15">
        <v>33.009998000000003</v>
      </c>
      <c r="D167" s="15">
        <v>67.950985000000003</v>
      </c>
      <c r="E167" s="15">
        <v>19.940000999999999</v>
      </c>
      <c r="F167" s="15">
        <v>35.560001</v>
      </c>
      <c r="G167" s="15">
        <v>7.43</v>
      </c>
      <c r="H167" s="15">
        <v>25.26</v>
      </c>
      <c r="I167" s="15">
        <v>27.93</v>
      </c>
      <c r="J167" s="15">
        <v>109.032877</v>
      </c>
      <c r="K167" s="15">
        <v>55.459999000000003</v>
      </c>
      <c r="L167" s="61">
        <f t="shared" si="4"/>
        <v>39094.444780999998</v>
      </c>
      <c r="V167" s="25">
        <v>5070.0297849999997</v>
      </c>
      <c r="W167" s="61">
        <f t="shared" si="5"/>
        <v>38116.374180659426</v>
      </c>
    </row>
    <row r="168" spans="1:23" x14ac:dyDescent="0.45">
      <c r="A168" s="22">
        <v>42152</v>
      </c>
      <c r="B168" s="15">
        <v>77.029999000000004</v>
      </c>
      <c r="C168" s="15">
        <v>32.979999999999997</v>
      </c>
      <c r="D168" s="15">
        <v>68.848155000000006</v>
      </c>
      <c r="E168" s="15">
        <v>20.09</v>
      </c>
      <c r="F168" s="15">
        <v>36.419998</v>
      </c>
      <c r="G168" s="15">
        <v>7.79</v>
      </c>
      <c r="H168" s="15">
        <v>25.73</v>
      </c>
      <c r="I168" s="15">
        <v>28.280000999999999</v>
      </c>
      <c r="J168" s="15">
        <v>109.190934</v>
      </c>
      <c r="K168" s="15">
        <v>56.810001</v>
      </c>
      <c r="L168" s="61">
        <f t="shared" si="4"/>
        <v>39595.135796000002</v>
      </c>
      <c r="V168" s="25">
        <v>5097.9799800000001</v>
      </c>
      <c r="W168" s="61">
        <f t="shared" si="5"/>
        <v>38326.503141675465</v>
      </c>
    </row>
    <row r="169" spans="1:23" x14ac:dyDescent="0.45">
      <c r="A169" s="22">
        <v>42151</v>
      </c>
      <c r="B169" s="15">
        <v>77.739998</v>
      </c>
      <c r="C169" s="15">
        <v>33.099997999999999</v>
      </c>
      <c r="D169" s="15">
        <v>69.257731000000007</v>
      </c>
      <c r="E169" s="15">
        <v>20.129999000000002</v>
      </c>
      <c r="F169" s="15">
        <v>35.830002</v>
      </c>
      <c r="G169" s="15">
        <v>7.95</v>
      </c>
      <c r="H169" s="15">
        <v>25.709999</v>
      </c>
      <c r="I169" s="15">
        <v>28.129999000000002</v>
      </c>
      <c r="J169" s="15">
        <v>109.032877</v>
      </c>
      <c r="K169" s="15">
        <v>53.279998999999997</v>
      </c>
      <c r="L169" s="61">
        <f t="shared" si="4"/>
        <v>39412.511806999995</v>
      </c>
      <c r="V169" s="25">
        <v>5106.5898440000001</v>
      </c>
      <c r="W169" s="61">
        <f t="shared" si="5"/>
        <v>38391.231912863266</v>
      </c>
    </row>
    <row r="170" spans="1:23" x14ac:dyDescent="0.45">
      <c r="A170" s="22">
        <v>42150</v>
      </c>
      <c r="B170" s="15">
        <v>76.930000000000007</v>
      </c>
      <c r="C170" s="15">
        <v>32.82</v>
      </c>
      <c r="D170" s="15">
        <v>67.638925999999998</v>
      </c>
      <c r="E170" s="15">
        <v>19.73</v>
      </c>
      <c r="F170" s="15">
        <v>35.799999</v>
      </c>
      <c r="G170" s="15">
        <v>8.2200000000000006</v>
      </c>
      <c r="H170" s="15">
        <v>25.41</v>
      </c>
      <c r="I170" s="15">
        <v>27.32</v>
      </c>
      <c r="J170" s="15">
        <v>108.114143</v>
      </c>
      <c r="K170" s="15">
        <v>53.41</v>
      </c>
      <c r="L170" s="61">
        <f t="shared" si="4"/>
        <v>39100.870560000003</v>
      </c>
      <c r="V170" s="25">
        <v>5032.75</v>
      </c>
      <c r="W170" s="61">
        <f t="shared" si="5"/>
        <v>37836.105563966375</v>
      </c>
    </row>
    <row r="171" spans="1:23" x14ac:dyDescent="0.45">
      <c r="A171" s="22">
        <v>42146</v>
      </c>
      <c r="B171" s="15">
        <v>77.660004000000001</v>
      </c>
      <c r="C171" s="15">
        <v>33.189999</v>
      </c>
      <c r="D171" s="15">
        <v>67.785205000000005</v>
      </c>
      <c r="E171" s="15">
        <v>20.079999999999998</v>
      </c>
      <c r="F171" s="15">
        <v>36.25</v>
      </c>
      <c r="G171" s="15">
        <v>8.0299999999999994</v>
      </c>
      <c r="H171" s="15">
        <v>25.49</v>
      </c>
      <c r="I171" s="15">
        <v>27.33</v>
      </c>
      <c r="J171" s="15">
        <v>108.924209</v>
      </c>
      <c r="K171" s="15">
        <v>54.439999</v>
      </c>
      <c r="L171" s="61">
        <f t="shared" si="4"/>
        <v>39383.006579000001</v>
      </c>
      <c r="V171" s="25">
        <v>5089.3598629999997</v>
      </c>
      <c r="W171" s="61">
        <f t="shared" si="5"/>
        <v>38261.697288655596</v>
      </c>
    </row>
    <row r="172" spans="1:23" x14ac:dyDescent="0.45">
      <c r="A172" s="22">
        <v>42145</v>
      </c>
      <c r="B172" s="15">
        <v>77.639999000000003</v>
      </c>
      <c r="C172" s="15">
        <v>33.330002</v>
      </c>
      <c r="D172" s="15">
        <v>68.350808000000001</v>
      </c>
      <c r="E172" s="15">
        <v>20.049999</v>
      </c>
      <c r="F172" s="15">
        <v>37.310001</v>
      </c>
      <c r="G172" s="15">
        <v>7.45</v>
      </c>
      <c r="H172" s="15">
        <v>25.620000999999998</v>
      </c>
      <c r="I172" s="15">
        <v>26.9</v>
      </c>
      <c r="J172" s="15">
        <v>109.05263100000001</v>
      </c>
      <c r="K172" s="15">
        <v>53.5</v>
      </c>
      <c r="L172" s="61">
        <f t="shared" si="4"/>
        <v>39176.219822999999</v>
      </c>
      <c r="V172" s="25">
        <v>5090.7900390000004</v>
      </c>
      <c r="W172" s="61">
        <f t="shared" si="5"/>
        <v>38272.449320866828</v>
      </c>
    </row>
    <row r="173" spans="1:23" x14ac:dyDescent="0.45">
      <c r="A173" s="22">
        <v>42144</v>
      </c>
      <c r="B173" s="15">
        <v>76.910004000000001</v>
      </c>
      <c r="C173" s="15">
        <v>33.520000000000003</v>
      </c>
      <c r="D173" s="15">
        <v>67.560908999999995</v>
      </c>
      <c r="E173" s="15">
        <v>20.299999</v>
      </c>
      <c r="F173" s="15">
        <v>34.970001000000003</v>
      </c>
      <c r="G173" s="15">
        <v>7.2</v>
      </c>
      <c r="H173" s="15">
        <v>25.75</v>
      </c>
      <c r="I173" s="15">
        <v>26.59</v>
      </c>
      <c r="J173" s="15">
        <v>108.86493</v>
      </c>
      <c r="K173" s="15">
        <v>53.880001</v>
      </c>
      <c r="L173" s="61">
        <f t="shared" si="4"/>
        <v>38996.373789000005</v>
      </c>
      <c r="V173" s="25">
        <v>5071.7402339999999</v>
      </c>
      <c r="W173" s="61">
        <f t="shared" si="5"/>
        <v>38129.233299218024</v>
      </c>
    </row>
    <row r="174" spans="1:23" x14ac:dyDescent="0.45">
      <c r="A174" s="22">
        <v>42143</v>
      </c>
      <c r="B174" s="15">
        <v>77.300003000000004</v>
      </c>
      <c r="C174" s="15">
        <v>33.639999000000003</v>
      </c>
      <c r="D174" s="15">
        <v>67.892476000000002</v>
      </c>
      <c r="E174" s="15">
        <v>20.440000999999999</v>
      </c>
      <c r="F174" s="15">
        <v>35.68</v>
      </c>
      <c r="G174" s="15">
        <v>7.45</v>
      </c>
      <c r="H174" s="15">
        <v>25.48</v>
      </c>
      <c r="I174" s="15">
        <v>26.309999000000001</v>
      </c>
      <c r="J174" s="15">
        <v>109.22057</v>
      </c>
      <c r="K174" s="15">
        <v>51.849997999999999</v>
      </c>
      <c r="L174" s="61">
        <f t="shared" si="4"/>
        <v>38958.420755000006</v>
      </c>
      <c r="V174" s="25">
        <v>5070.0297849999997</v>
      </c>
      <c r="W174" s="61">
        <f t="shared" si="5"/>
        <v>38116.374180659426</v>
      </c>
    </row>
    <row r="175" spans="1:23" x14ac:dyDescent="0.45">
      <c r="A175" s="22">
        <v>42142</v>
      </c>
      <c r="B175" s="15">
        <v>77.940002000000007</v>
      </c>
      <c r="C175" s="15">
        <v>33.810001</v>
      </c>
      <c r="D175" s="15">
        <v>68.672621000000007</v>
      </c>
      <c r="E175" s="15">
        <v>20.52</v>
      </c>
      <c r="F175" s="15">
        <v>35.259998000000003</v>
      </c>
      <c r="G175" s="15">
        <v>7.54</v>
      </c>
      <c r="H175" s="15">
        <v>25.42</v>
      </c>
      <c r="I175" s="15">
        <v>26.76</v>
      </c>
      <c r="J175" s="15">
        <v>108.99336</v>
      </c>
      <c r="K175" s="15">
        <v>51.130001</v>
      </c>
      <c r="L175" s="61">
        <f t="shared" si="4"/>
        <v>39089.662331</v>
      </c>
      <c r="V175" s="25">
        <v>5078.4399409999996</v>
      </c>
      <c r="W175" s="61">
        <f t="shared" si="5"/>
        <v>38179.601551425993</v>
      </c>
    </row>
    <row r="176" spans="1:23" x14ac:dyDescent="0.45">
      <c r="A176" s="22">
        <v>42139</v>
      </c>
      <c r="B176" s="15">
        <v>77.959998999999996</v>
      </c>
      <c r="C176" s="15">
        <v>33.950001</v>
      </c>
      <c r="D176" s="15">
        <v>69.29674</v>
      </c>
      <c r="E176" s="15">
        <v>20.67</v>
      </c>
      <c r="F176" s="15">
        <v>34.779998999999997</v>
      </c>
      <c r="G176" s="15">
        <v>7.68</v>
      </c>
      <c r="H176" s="15">
        <v>25.42</v>
      </c>
      <c r="I176" s="15">
        <v>26.33</v>
      </c>
      <c r="J176" s="15">
        <v>108.963725</v>
      </c>
      <c r="K176" s="15">
        <v>50.09</v>
      </c>
      <c r="L176" s="61">
        <f t="shared" si="4"/>
        <v>39066.148869999997</v>
      </c>
      <c r="V176" s="25">
        <v>5048.2900390000004</v>
      </c>
      <c r="W176" s="61">
        <f t="shared" si="5"/>
        <v>37952.935240797568</v>
      </c>
    </row>
    <row r="177" spans="1:23" x14ac:dyDescent="0.45">
      <c r="A177" s="22">
        <v>42138</v>
      </c>
      <c r="B177" s="15">
        <v>78.360000999999997</v>
      </c>
      <c r="C177" s="15">
        <v>33.599997999999999</v>
      </c>
      <c r="D177" s="15">
        <v>68.770138000000003</v>
      </c>
      <c r="E177" s="15">
        <v>20.889999</v>
      </c>
      <c r="F177" s="15">
        <v>34.659999999999997</v>
      </c>
      <c r="G177" s="15">
        <v>7.75</v>
      </c>
      <c r="H177" s="15">
        <v>25.17</v>
      </c>
      <c r="I177" s="15">
        <v>26.690000999999999</v>
      </c>
      <c r="J177" s="15">
        <v>108.59820499999999</v>
      </c>
      <c r="K177" s="15">
        <v>50.619999</v>
      </c>
      <c r="L177" s="61">
        <f t="shared" si="4"/>
        <v>39065.352572000003</v>
      </c>
      <c r="V177" s="25">
        <v>5050.7998049999997</v>
      </c>
      <c r="W177" s="61">
        <f t="shared" si="5"/>
        <v>37971.803607260597</v>
      </c>
    </row>
    <row r="178" spans="1:23" x14ac:dyDescent="0.45">
      <c r="A178" s="22">
        <v>42137</v>
      </c>
      <c r="B178" s="15">
        <v>76.120002999999997</v>
      </c>
      <c r="C178" s="15">
        <v>33.700001</v>
      </c>
      <c r="D178" s="15">
        <v>67.999746999999999</v>
      </c>
      <c r="E178" s="15">
        <v>20.389999</v>
      </c>
      <c r="F178" s="15">
        <v>35.07</v>
      </c>
      <c r="G178" s="15">
        <v>7.57</v>
      </c>
      <c r="H178" s="15">
        <v>24.629999000000002</v>
      </c>
      <c r="I178" s="15">
        <v>27.190000999999999</v>
      </c>
      <c r="J178" s="15">
        <v>107.867172</v>
      </c>
      <c r="K178" s="15">
        <v>49.849997999999999</v>
      </c>
      <c r="L178" s="61">
        <f t="shared" si="4"/>
        <v>38616.212746000005</v>
      </c>
      <c r="V178" s="25">
        <v>4981.6899409999996</v>
      </c>
      <c r="W178" s="61">
        <f t="shared" si="5"/>
        <v>37452.237145621264</v>
      </c>
    </row>
    <row r="179" spans="1:23" x14ac:dyDescent="0.45">
      <c r="A179" s="22">
        <v>42136</v>
      </c>
      <c r="B179" s="15">
        <v>75.970000999999996</v>
      </c>
      <c r="C179" s="15">
        <v>33.799999</v>
      </c>
      <c r="D179" s="15">
        <v>67.083070000000006</v>
      </c>
      <c r="E179" s="15">
        <v>20.350000000000001</v>
      </c>
      <c r="F179" s="15">
        <v>34.880001</v>
      </c>
      <c r="G179" s="15">
        <v>7.65</v>
      </c>
      <c r="H179" s="15">
        <v>24.610001</v>
      </c>
      <c r="I179" s="15">
        <v>26.870000999999998</v>
      </c>
      <c r="J179" s="15">
        <v>107.916562</v>
      </c>
      <c r="K179" s="15">
        <v>49.57</v>
      </c>
      <c r="L179" s="61">
        <f t="shared" si="4"/>
        <v>38540.820480000002</v>
      </c>
      <c r="V179" s="25">
        <v>4976.1899409999996</v>
      </c>
      <c r="W179" s="61">
        <f t="shared" si="5"/>
        <v>37410.888264671121</v>
      </c>
    </row>
    <row r="180" spans="1:23" x14ac:dyDescent="0.45">
      <c r="A180" s="22">
        <v>42135</v>
      </c>
      <c r="B180" s="15">
        <v>76.099997999999999</v>
      </c>
      <c r="C180" s="15">
        <v>34.009998000000003</v>
      </c>
      <c r="D180" s="15">
        <v>67.336619999999996</v>
      </c>
      <c r="E180" s="15">
        <v>20.610001</v>
      </c>
      <c r="F180" s="15">
        <v>35.540000999999997</v>
      </c>
      <c r="G180" s="15">
        <v>8.06</v>
      </c>
      <c r="H180" s="15">
        <v>24.639999</v>
      </c>
      <c r="I180" s="15">
        <v>27.75</v>
      </c>
      <c r="J180" s="15">
        <v>107.284316</v>
      </c>
      <c r="K180" s="15">
        <v>48.849997999999999</v>
      </c>
      <c r="L180" s="61">
        <f t="shared" si="4"/>
        <v>38800.519565000002</v>
      </c>
      <c r="V180" s="25">
        <v>4993.5698240000002</v>
      </c>
      <c r="W180" s="61">
        <f t="shared" si="5"/>
        <v>37541.549848870098</v>
      </c>
    </row>
    <row r="181" spans="1:23" x14ac:dyDescent="0.45">
      <c r="A181" s="22">
        <v>42132</v>
      </c>
      <c r="B181" s="15">
        <v>76.430000000000007</v>
      </c>
      <c r="C181" s="15">
        <v>33.82</v>
      </c>
      <c r="D181" s="15">
        <v>67.687687999999994</v>
      </c>
      <c r="E181" s="15">
        <v>20.329999999999998</v>
      </c>
      <c r="F181" s="15">
        <v>35.330002</v>
      </c>
      <c r="G181" s="15">
        <v>7.6</v>
      </c>
      <c r="H181" s="15">
        <v>25.049999</v>
      </c>
      <c r="I181" s="15">
        <v>27.18</v>
      </c>
      <c r="J181" s="15">
        <v>108.77602400000001</v>
      </c>
      <c r="K181" s="15">
        <v>50.209999000000003</v>
      </c>
      <c r="L181" s="61">
        <f t="shared" si="4"/>
        <v>38794.484944000003</v>
      </c>
      <c r="V181" s="25">
        <v>5003.5498049999997</v>
      </c>
      <c r="W181" s="61">
        <f t="shared" si="5"/>
        <v>37616.579130007129</v>
      </c>
    </row>
    <row r="182" spans="1:23" x14ac:dyDescent="0.45">
      <c r="A182" s="22">
        <v>42131</v>
      </c>
      <c r="B182" s="15">
        <v>75.239998</v>
      </c>
      <c r="C182" s="15">
        <v>33.200001</v>
      </c>
      <c r="D182" s="15">
        <v>66.732001999999994</v>
      </c>
      <c r="E182" s="15">
        <v>20.190000999999999</v>
      </c>
      <c r="F182" s="15">
        <v>34.970001000000003</v>
      </c>
      <c r="G182" s="15">
        <v>7.95</v>
      </c>
      <c r="H182" s="15">
        <v>24.41</v>
      </c>
      <c r="I182" s="15">
        <v>27.27</v>
      </c>
      <c r="J182" s="15">
        <v>107.936324</v>
      </c>
      <c r="K182" s="15">
        <v>49.549999</v>
      </c>
      <c r="L182" s="61">
        <f t="shared" si="4"/>
        <v>38397.819890999999</v>
      </c>
      <c r="V182" s="25">
        <v>4945.5400390000004</v>
      </c>
      <c r="W182" s="61">
        <f t="shared" si="5"/>
        <v>37180.462964865408</v>
      </c>
    </row>
    <row r="183" spans="1:23" x14ac:dyDescent="0.45">
      <c r="A183" s="22">
        <v>42130</v>
      </c>
      <c r="B183" s="15">
        <v>75.040001000000004</v>
      </c>
      <c r="C183" s="15">
        <v>33.439999</v>
      </c>
      <c r="D183" s="15">
        <v>66.127384000000006</v>
      </c>
      <c r="E183" s="15">
        <v>19.98</v>
      </c>
      <c r="F183" s="15">
        <v>36.290000999999997</v>
      </c>
      <c r="G183" s="15">
        <v>7.98</v>
      </c>
      <c r="H183" s="15">
        <v>23.200001</v>
      </c>
      <c r="I183" s="15">
        <v>27.99</v>
      </c>
      <c r="J183" s="15">
        <v>108.39075</v>
      </c>
      <c r="K183" s="15">
        <v>48.189999</v>
      </c>
      <c r="L183" s="61">
        <f t="shared" si="4"/>
        <v>38222.811633999998</v>
      </c>
      <c r="V183" s="25">
        <v>4919.6401370000003</v>
      </c>
      <c r="W183" s="61">
        <f t="shared" si="5"/>
        <v>36985.748062243903</v>
      </c>
    </row>
    <row r="184" spans="1:23" x14ac:dyDescent="0.45">
      <c r="A184" s="22">
        <v>42129</v>
      </c>
      <c r="B184" s="15">
        <v>75.360000999999997</v>
      </c>
      <c r="C184" s="15">
        <v>34.080002</v>
      </c>
      <c r="D184" s="15">
        <v>66.673492999999993</v>
      </c>
      <c r="E184" s="15">
        <v>19.940000999999999</v>
      </c>
      <c r="F184" s="15">
        <v>36.950001</v>
      </c>
      <c r="G184" s="15">
        <v>8.16</v>
      </c>
      <c r="H184" s="15">
        <v>22.709999</v>
      </c>
      <c r="I184" s="15">
        <v>28.040001</v>
      </c>
      <c r="J184" s="15">
        <v>109.467541</v>
      </c>
      <c r="K184" s="15">
        <v>47.740001999999997</v>
      </c>
      <c r="L184" s="61">
        <f t="shared" si="4"/>
        <v>38443.811723999999</v>
      </c>
      <c r="V184" s="25">
        <v>4939.330078</v>
      </c>
      <c r="W184" s="61">
        <f t="shared" si="5"/>
        <v>37133.776612484682</v>
      </c>
    </row>
    <row r="185" spans="1:23" x14ac:dyDescent="0.45">
      <c r="A185" s="22">
        <v>42128</v>
      </c>
      <c r="B185" s="15">
        <v>75.099997999999999</v>
      </c>
      <c r="C185" s="15">
        <v>34.32</v>
      </c>
      <c r="D185" s="15">
        <v>67.346367000000001</v>
      </c>
      <c r="E185" s="15">
        <v>20.360001</v>
      </c>
      <c r="F185" s="15">
        <v>37.709999000000003</v>
      </c>
      <c r="G185" s="15">
        <v>8.5</v>
      </c>
      <c r="H185" s="15">
        <v>23.190000999999999</v>
      </c>
      <c r="I185" s="15">
        <v>28.67</v>
      </c>
      <c r="J185" s="15">
        <v>109.684877</v>
      </c>
      <c r="K185" s="15">
        <v>49.740001999999997</v>
      </c>
      <c r="L185" s="61">
        <f t="shared" si="4"/>
        <v>39000.224839000002</v>
      </c>
      <c r="V185" s="25">
        <v>5016.9301759999998</v>
      </c>
      <c r="W185" s="61">
        <f t="shared" si="5"/>
        <v>37717.172469561257</v>
      </c>
    </row>
    <row r="186" spans="1:23" x14ac:dyDescent="0.45">
      <c r="A186" s="22">
        <v>42125</v>
      </c>
      <c r="B186" s="15">
        <v>74.660004000000001</v>
      </c>
      <c r="C186" s="15">
        <v>34.360000999999997</v>
      </c>
      <c r="D186" s="15">
        <v>66.722247999999993</v>
      </c>
      <c r="E186" s="15">
        <v>20.389999</v>
      </c>
      <c r="F186" s="15">
        <v>36.709999000000003</v>
      </c>
      <c r="G186" s="15">
        <v>8.36</v>
      </c>
      <c r="H186" s="15">
        <v>23.049999</v>
      </c>
      <c r="I186" s="15">
        <v>28.99</v>
      </c>
      <c r="J186" s="15">
        <v>109.18105300000001</v>
      </c>
      <c r="K186" s="15">
        <v>49.98</v>
      </c>
      <c r="L186" s="61">
        <f t="shared" si="4"/>
        <v>38877.544382999993</v>
      </c>
      <c r="V186" s="25">
        <v>5005.3901370000003</v>
      </c>
      <c r="W186" s="61">
        <f t="shared" si="5"/>
        <v>37630.414706148353</v>
      </c>
    </row>
    <row r="187" spans="1:23" x14ac:dyDescent="0.45">
      <c r="A187" s="22">
        <v>42124</v>
      </c>
      <c r="B187" s="15">
        <v>73.779999000000004</v>
      </c>
      <c r="C187" s="15">
        <v>33.669998</v>
      </c>
      <c r="D187" s="15">
        <v>66.312672000000006</v>
      </c>
      <c r="E187" s="15">
        <v>19.959999</v>
      </c>
      <c r="F187" s="15">
        <v>37.450001</v>
      </c>
      <c r="G187" s="15">
        <v>8.27</v>
      </c>
      <c r="H187" s="15">
        <v>22.82</v>
      </c>
      <c r="I187" s="15">
        <v>28.129999000000002</v>
      </c>
      <c r="J187" s="15">
        <v>107.40286500000001</v>
      </c>
      <c r="K187" s="15">
        <v>50.080002</v>
      </c>
      <c r="L187" s="61">
        <f t="shared" si="4"/>
        <v>38394.148985</v>
      </c>
      <c r="V187" s="25">
        <v>4941.419922</v>
      </c>
      <c r="W187" s="61">
        <f t="shared" si="5"/>
        <v>37149.488014441107</v>
      </c>
    </row>
    <row r="188" spans="1:23" x14ac:dyDescent="0.45">
      <c r="A188" s="22">
        <v>42123</v>
      </c>
      <c r="B188" s="15">
        <v>75.129997000000003</v>
      </c>
      <c r="C188" s="15">
        <v>34.68</v>
      </c>
      <c r="D188" s="15">
        <v>66.966044999999994</v>
      </c>
      <c r="E188" s="15">
        <v>20.290001</v>
      </c>
      <c r="F188" s="15">
        <v>39.93</v>
      </c>
      <c r="G188" s="15">
        <v>7.97</v>
      </c>
      <c r="H188" s="15">
        <v>23.190000999999999</v>
      </c>
      <c r="I188" s="15">
        <v>28.870000999999998</v>
      </c>
      <c r="J188" s="15">
        <v>108.47965600000001</v>
      </c>
      <c r="K188" s="15">
        <v>52.959999000000003</v>
      </c>
      <c r="L188" s="61">
        <f t="shared" si="4"/>
        <v>39233.911861000008</v>
      </c>
      <c r="V188" s="25">
        <v>5023.6401370000003</v>
      </c>
      <c r="W188" s="61">
        <f t="shared" si="5"/>
        <v>37767.617811119271</v>
      </c>
    </row>
    <row r="189" spans="1:23" x14ac:dyDescent="0.45">
      <c r="A189" s="22">
        <v>42122</v>
      </c>
      <c r="B189" s="15">
        <v>76.069999999999993</v>
      </c>
      <c r="C189" s="15">
        <v>34.990001999999997</v>
      </c>
      <c r="D189" s="15">
        <v>67.921730999999994</v>
      </c>
      <c r="E189" s="15">
        <v>19.540001</v>
      </c>
      <c r="F189" s="15">
        <v>51.299999</v>
      </c>
      <c r="G189" s="15">
        <v>7.82</v>
      </c>
      <c r="H189" s="15">
        <v>23.469999000000001</v>
      </c>
      <c r="I189" s="15">
        <v>28.99</v>
      </c>
      <c r="J189" s="15">
        <v>108.588324</v>
      </c>
      <c r="K189" s="15">
        <v>47.02</v>
      </c>
      <c r="L189" s="61">
        <f t="shared" si="4"/>
        <v>39197.416677000001</v>
      </c>
      <c r="V189" s="25">
        <v>5055.419922</v>
      </c>
      <c r="W189" s="61">
        <f t="shared" si="5"/>
        <v>38006.537546862186</v>
      </c>
    </row>
    <row r="190" spans="1:23" x14ac:dyDescent="0.45">
      <c r="A190" s="22">
        <v>42121</v>
      </c>
      <c r="B190" s="15">
        <v>77.040001000000004</v>
      </c>
      <c r="C190" s="15">
        <v>34.979999999999997</v>
      </c>
      <c r="D190" s="15">
        <v>67.512153999999995</v>
      </c>
      <c r="E190" s="15">
        <v>19.540001</v>
      </c>
      <c r="F190" s="15">
        <v>49.23</v>
      </c>
      <c r="G190" s="15">
        <v>7.9</v>
      </c>
      <c r="H190" s="15">
        <v>23.719999000000001</v>
      </c>
      <c r="I190" s="15">
        <v>29.27</v>
      </c>
      <c r="J190" s="15">
        <v>108.825422</v>
      </c>
      <c r="K190" s="15">
        <v>45.189999</v>
      </c>
      <c r="L190" s="61">
        <f t="shared" si="4"/>
        <v>39139.490306000007</v>
      </c>
      <c r="V190" s="25">
        <v>5060.25</v>
      </c>
      <c r="W190" s="61">
        <f t="shared" si="5"/>
        <v>38042.84996871707</v>
      </c>
    </row>
    <row r="191" spans="1:23" x14ac:dyDescent="0.45">
      <c r="A191" s="22">
        <v>42118</v>
      </c>
      <c r="B191" s="15">
        <v>75.739998</v>
      </c>
      <c r="C191" s="15">
        <v>35.759998000000003</v>
      </c>
      <c r="D191" s="15">
        <v>66.546713999999994</v>
      </c>
      <c r="E191" s="15">
        <v>19.34</v>
      </c>
      <c r="F191" s="15">
        <v>51.279998999999997</v>
      </c>
      <c r="G191" s="15">
        <v>8.0399999999999991</v>
      </c>
      <c r="H191" s="15">
        <v>23.940000999999999</v>
      </c>
      <c r="I191" s="15">
        <v>29.200001</v>
      </c>
      <c r="J191" s="15">
        <v>108.20304899999999</v>
      </c>
      <c r="K191" s="15">
        <v>44.73</v>
      </c>
      <c r="L191" s="61">
        <f t="shared" si="4"/>
        <v>39212.796679999999</v>
      </c>
      <c r="V191" s="25">
        <v>5092.080078</v>
      </c>
      <c r="W191" s="61">
        <f t="shared" si="5"/>
        <v>38282.147806145374</v>
      </c>
    </row>
    <row r="192" spans="1:23" x14ac:dyDescent="0.45">
      <c r="A192" s="22">
        <v>42117</v>
      </c>
      <c r="B192" s="15">
        <v>76.269997000000004</v>
      </c>
      <c r="C192" s="15">
        <v>37.299999</v>
      </c>
      <c r="D192" s="15">
        <v>66.644231000000005</v>
      </c>
      <c r="E192" s="15">
        <v>19.469999000000001</v>
      </c>
      <c r="F192" s="15">
        <v>54.57</v>
      </c>
      <c r="G192" s="15">
        <v>8.56</v>
      </c>
      <c r="H192" s="15">
        <v>23.75</v>
      </c>
      <c r="I192" s="15">
        <v>29.52</v>
      </c>
      <c r="J192" s="15">
        <v>107.67947100000001</v>
      </c>
      <c r="K192" s="15">
        <v>46.080002</v>
      </c>
      <c r="L192" s="61">
        <f t="shared" si="4"/>
        <v>40048.70523</v>
      </c>
      <c r="V192" s="25">
        <v>5056.0600590000004</v>
      </c>
      <c r="W192" s="61">
        <f t="shared" si="5"/>
        <v>38011.350082972145</v>
      </c>
    </row>
    <row r="193" spans="1:23" x14ac:dyDescent="0.45">
      <c r="A193" s="22">
        <v>42116</v>
      </c>
      <c r="B193" s="15">
        <v>76.019997000000004</v>
      </c>
      <c r="C193" s="15">
        <v>30.540001</v>
      </c>
      <c r="D193" s="15">
        <v>67.229348999999999</v>
      </c>
      <c r="E193" s="15">
        <v>18.200001</v>
      </c>
      <c r="F193" s="15">
        <v>53.599997999999999</v>
      </c>
      <c r="G193" s="15">
        <v>7.82</v>
      </c>
      <c r="H193" s="15">
        <v>23.49</v>
      </c>
      <c r="I193" s="15">
        <v>29.5</v>
      </c>
      <c r="J193" s="15">
        <v>106.632316</v>
      </c>
      <c r="K193" s="15">
        <v>46.25</v>
      </c>
      <c r="L193" s="61">
        <f t="shared" si="4"/>
        <v>37927.016902000003</v>
      </c>
      <c r="V193" s="25">
        <v>5035.169922</v>
      </c>
      <c r="W193" s="61">
        <f t="shared" si="5"/>
        <v>37854.298485182124</v>
      </c>
    </row>
    <row r="194" spans="1:23" x14ac:dyDescent="0.45">
      <c r="A194" s="22">
        <v>42115</v>
      </c>
      <c r="B194" s="15">
        <v>75.300003000000004</v>
      </c>
      <c r="C194" s="15">
        <v>30.16</v>
      </c>
      <c r="D194" s="15">
        <v>66.868527999999998</v>
      </c>
      <c r="E194" s="15">
        <v>17.82</v>
      </c>
      <c r="F194" s="15">
        <v>53.43</v>
      </c>
      <c r="G194" s="15">
        <v>7.18</v>
      </c>
      <c r="H194" s="15">
        <v>23.389999</v>
      </c>
      <c r="I194" s="15">
        <v>28.549999</v>
      </c>
      <c r="J194" s="15">
        <v>106.375463</v>
      </c>
      <c r="K194" s="15">
        <v>44.310001</v>
      </c>
      <c r="L194" s="61">
        <f t="shared" si="4"/>
        <v>37202.960441000003</v>
      </c>
      <c r="V194" s="25">
        <v>5014.1000979999999</v>
      </c>
      <c r="W194" s="61">
        <f t="shared" si="5"/>
        <v>37695.89600441551</v>
      </c>
    </row>
    <row r="195" spans="1:23" x14ac:dyDescent="0.45">
      <c r="A195" s="22">
        <v>42114</v>
      </c>
      <c r="B195" s="15">
        <v>73.459998999999996</v>
      </c>
      <c r="C195" s="15">
        <v>30</v>
      </c>
      <c r="D195" s="15">
        <v>66.936790000000002</v>
      </c>
      <c r="E195" s="15">
        <v>18</v>
      </c>
      <c r="F195" s="15">
        <v>56.369999</v>
      </c>
      <c r="G195" s="15">
        <v>6.98</v>
      </c>
      <c r="H195" s="15">
        <v>23.08</v>
      </c>
      <c r="I195" s="15">
        <v>28.26</v>
      </c>
      <c r="J195" s="15">
        <v>106.908922</v>
      </c>
      <c r="K195" s="15">
        <v>44.880001</v>
      </c>
      <c r="L195" s="61">
        <f t="shared" si="4"/>
        <v>37013.907120999997</v>
      </c>
      <c r="V195" s="25">
        <v>4994.6000979999999</v>
      </c>
      <c r="W195" s="61">
        <f t="shared" si="5"/>
        <v>37549.295426501376</v>
      </c>
    </row>
    <row r="196" spans="1:23" x14ac:dyDescent="0.45">
      <c r="A196" s="22">
        <v>42111</v>
      </c>
      <c r="B196" s="15">
        <v>71.900002000000001</v>
      </c>
      <c r="C196" s="15">
        <v>29.82</v>
      </c>
      <c r="D196" s="15">
        <v>65.444755999999998</v>
      </c>
      <c r="E196" s="15">
        <v>17.530000999999999</v>
      </c>
      <c r="F196" s="15">
        <v>55.59</v>
      </c>
      <c r="G196" s="15">
        <v>7</v>
      </c>
      <c r="H196" s="15">
        <v>22.809999000000001</v>
      </c>
      <c r="I196" s="15">
        <v>28.02</v>
      </c>
      <c r="J196" s="15">
        <v>105.397459</v>
      </c>
      <c r="K196" s="15">
        <v>44.619999</v>
      </c>
      <c r="L196" s="61">
        <f t="shared" ref="L196:L253" si="6">SUMPRODUCT($B$1:$K$1,B196:K196)</f>
        <v>36552.091616000005</v>
      </c>
      <c r="V196" s="25">
        <v>4931.8100590000004</v>
      </c>
      <c r="W196" s="61">
        <f t="shared" ref="W196:W253" si="7">V196*$W$254</f>
        <v>37077.241272416722</v>
      </c>
    </row>
    <row r="197" spans="1:23" x14ac:dyDescent="0.45">
      <c r="A197" s="22">
        <v>42110</v>
      </c>
      <c r="B197" s="15">
        <v>72.489998</v>
      </c>
      <c r="C197" s="15">
        <v>29.969999000000001</v>
      </c>
      <c r="D197" s="15">
        <v>66.224907999999999</v>
      </c>
      <c r="E197" s="15">
        <v>18.049999</v>
      </c>
      <c r="F197" s="15">
        <v>58</v>
      </c>
      <c r="G197" s="15">
        <v>7.13</v>
      </c>
      <c r="H197" s="15">
        <v>23.190000999999999</v>
      </c>
      <c r="I197" s="15">
        <v>28.01</v>
      </c>
      <c r="J197" s="15">
        <v>106.790373</v>
      </c>
      <c r="K197" s="15">
        <v>45.459999000000003</v>
      </c>
      <c r="L197" s="61">
        <f t="shared" si="6"/>
        <v>37018.336111999997</v>
      </c>
      <c r="V197" s="25">
        <v>5007.7900390000004</v>
      </c>
      <c r="W197" s="61">
        <f t="shared" si="7"/>
        <v>37648.457117437443</v>
      </c>
    </row>
    <row r="198" spans="1:23" x14ac:dyDescent="0.45">
      <c r="A198" s="22">
        <v>42109</v>
      </c>
      <c r="B198" s="15">
        <v>71.339995999999999</v>
      </c>
      <c r="C198" s="15">
        <v>29.74</v>
      </c>
      <c r="D198" s="15">
        <v>66.761256000000003</v>
      </c>
      <c r="E198" s="15">
        <v>18.239999999999998</v>
      </c>
      <c r="F198" s="15">
        <v>61.43</v>
      </c>
      <c r="G198" s="15">
        <v>7.2</v>
      </c>
      <c r="H198" s="15">
        <v>22.9</v>
      </c>
      <c r="I198" s="15">
        <v>28.17</v>
      </c>
      <c r="J198" s="15">
        <v>105.683947</v>
      </c>
      <c r="K198" s="15">
        <v>45.669998</v>
      </c>
      <c r="L198" s="61">
        <f t="shared" si="6"/>
        <v>36973.580627999996</v>
      </c>
      <c r="V198" s="25">
        <v>5011.0200199999999</v>
      </c>
      <c r="W198" s="61">
        <f t="shared" si="7"/>
        <v>37672.740044681115</v>
      </c>
    </row>
    <row r="199" spans="1:23" x14ac:dyDescent="0.45">
      <c r="A199" s="22">
        <v>42108</v>
      </c>
      <c r="B199" s="15">
        <v>71.150002000000001</v>
      </c>
      <c r="C199" s="15">
        <v>29.26</v>
      </c>
      <c r="D199" s="15">
        <v>67.258604000000005</v>
      </c>
      <c r="E199" s="15">
        <v>18.32</v>
      </c>
      <c r="F199" s="15">
        <v>58.060001</v>
      </c>
      <c r="G199" s="15">
        <v>7.2</v>
      </c>
      <c r="H199" s="15">
        <v>22.92</v>
      </c>
      <c r="I199" s="15">
        <v>27.719999000000001</v>
      </c>
      <c r="J199" s="15">
        <v>105.367824</v>
      </c>
      <c r="K199" s="15">
        <v>44.48</v>
      </c>
      <c r="L199" s="61">
        <f t="shared" si="6"/>
        <v>36607.285055</v>
      </c>
      <c r="V199" s="25">
        <v>4977.2900390000004</v>
      </c>
      <c r="W199" s="61">
        <f t="shared" si="7"/>
        <v>37419.158777623037</v>
      </c>
    </row>
    <row r="200" spans="1:23" x14ac:dyDescent="0.45">
      <c r="A200" s="22">
        <v>42107</v>
      </c>
      <c r="B200" s="15">
        <v>71.339995999999999</v>
      </c>
      <c r="C200" s="15">
        <v>28.790001</v>
      </c>
      <c r="D200" s="15">
        <v>67.024561000000006</v>
      </c>
      <c r="E200" s="15">
        <v>18.25</v>
      </c>
      <c r="F200" s="15">
        <v>56.959999000000003</v>
      </c>
      <c r="G200" s="15">
        <v>7.25</v>
      </c>
      <c r="H200" s="15">
        <v>22.790001</v>
      </c>
      <c r="I200" s="15">
        <v>27.879999000000002</v>
      </c>
      <c r="J200" s="15">
        <v>105.21964</v>
      </c>
      <c r="K200" s="15">
        <v>44.220001000000003</v>
      </c>
      <c r="L200" s="61">
        <f t="shared" si="6"/>
        <v>36443.287211000003</v>
      </c>
      <c r="V200" s="25">
        <v>4988.25</v>
      </c>
      <c r="W200" s="61">
        <f t="shared" si="7"/>
        <v>37501.555527187971</v>
      </c>
    </row>
    <row r="201" spans="1:23" x14ac:dyDescent="0.45">
      <c r="A201" s="22">
        <v>42104</v>
      </c>
      <c r="B201" s="15">
        <v>71.449996999999996</v>
      </c>
      <c r="C201" s="15">
        <v>29.190000999999999</v>
      </c>
      <c r="D201" s="15">
        <v>67.443890999999994</v>
      </c>
      <c r="E201" s="15">
        <v>17.969999000000001</v>
      </c>
      <c r="F201" s="15">
        <v>57.060001</v>
      </c>
      <c r="G201" s="15">
        <v>7.24</v>
      </c>
      <c r="H201" s="15">
        <v>22.93</v>
      </c>
      <c r="I201" s="15">
        <v>28.02</v>
      </c>
      <c r="J201" s="15">
        <v>105.654304</v>
      </c>
      <c r="K201" s="15">
        <v>45.25</v>
      </c>
      <c r="L201" s="61">
        <f t="shared" si="6"/>
        <v>36692.323567999993</v>
      </c>
      <c r="V201" s="25">
        <v>4995.9799800000001</v>
      </c>
      <c r="W201" s="61">
        <f t="shared" si="7"/>
        <v>37559.66934950924</v>
      </c>
    </row>
    <row r="202" spans="1:23" x14ac:dyDescent="0.45">
      <c r="A202" s="22">
        <v>42103</v>
      </c>
      <c r="B202" s="15">
        <v>71.260002</v>
      </c>
      <c r="C202" s="15">
        <v>29.52</v>
      </c>
      <c r="D202" s="15">
        <v>67.10257</v>
      </c>
      <c r="E202" s="15">
        <v>17.809999000000001</v>
      </c>
      <c r="F202" s="15">
        <v>56.779998999999997</v>
      </c>
      <c r="G202" s="15">
        <v>7.38</v>
      </c>
      <c r="H202" s="15">
        <v>23</v>
      </c>
      <c r="I202" s="15">
        <v>27.82</v>
      </c>
      <c r="J202" s="15">
        <v>105.476484</v>
      </c>
      <c r="K202" s="15">
        <v>43.700001</v>
      </c>
      <c r="L202" s="61">
        <f t="shared" si="6"/>
        <v>36608.763199000001</v>
      </c>
      <c r="V202" s="25">
        <v>4974.5600590000004</v>
      </c>
      <c r="W202" s="61">
        <f t="shared" si="7"/>
        <v>37398.634847074623</v>
      </c>
    </row>
    <row r="203" spans="1:23" x14ac:dyDescent="0.45">
      <c r="A203" s="22">
        <v>42102</v>
      </c>
      <c r="B203" s="15">
        <v>71.790001000000004</v>
      </c>
      <c r="C203" s="15">
        <v>29.450001</v>
      </c>
      <c r="D203" s="15">
        <v>65.591036000000003</v>
      </c>
      <c r="E203" s="15">
        <v>17.75</v>
      </c>
      <c r="F203" s="15">
        <v>56.650002000000001</v>
      </c>
      <c r="G203" s="15">
        <v>7.39</v>
      </c>
      <c r="H203" s="15">
        <v>22.959999</v>
      </c>
      <c r="I203" s="15">
        <v>27.129999000000002</v>
      </c>
      <c r="J203" s="15">
        <v>105.071455</v>
      </c>
      <c r="K203" s="15">
        <v>43.330002</v>
      </c>
      <c r="L203" s="61">
        <f t="shared" si="6"/>
        <v>36446.035801999999</v>
      </c>
      <c r="V203" s="25">
        <v>4950.8198240000002</v>
      </c>
      <c r="W203" s="61">
        <f t="shared" si="7"/>
        <v>37220.156274212197</v>
      </c>
    </row>
    <row r="204" spans="1:23" x14ac:dyDescent="0.45">
      <c r="A204" s="22">
        <v>42101</v>
      </c>
      <c r="B204" s="15">
        <v>71.080001999999993</v>
      </c>
      <c r="C204" s="15">
        <v>29.68</v>
      </c>
      <c r="D204" s="15">
        <v>65.649545000000003</v>
      </c>
      <c r="E204" s="15">
        <v>17.309999000000001</v>
      </c>
      <c r="F204" s="15">
        <v>54.630001</v>
      </c>
      <c r="G204" s="15">
        <v>6.62</v>
      </c>
      <c r="H204" s="15">
        <v>22.77</v>
      </c>
      <c r="I204" s="15">
        <v>26.870000999999998</v>
      </c>
      <c r="J204" s="15">
        <v>104.152722</v>
      </c>
      <c r="K204" s="15">
        <v>43.57</v>
      </c>
      <c r="L204" s="61">
        <f t="shared" si="6"/>
        <v>36023.629153000002</v>
      </c>
      <c r="V204" s="25">
        <v>4910.2299800000001</v>
      </c>
      <c r="W204" s="61">
        <f t="shared" si="7"/>
        <v>36915.002705604791</v>
      </c>
    </row>
    <row r="205" spans="1:23" x14ac:dyDescent="0.45">
      <c r="A205" s="22">
        <v>42100</v>
      </c>
      <c r="B205" s="15">
        <v>70.919998000000007</v>
      </c>
      <c r="C205" s="15">
        <v>29.530000999999999</v>
      </c>
      <c r="D205" s="15">
        <v>66.078629000000006</v>
      </c>
      <c r="E205" s="15">
        <v>17.260000000000002</v>
      </c>
      <c r="F205" s="15">
        <v>53.380001</v>
      </c>
      <c r="G205" s="15">
        <v>6.52</v>
      </c>
      <c r="H205" s="15">
        <v>22.67</v>
      </c>
      <c r="I205" s="15">
        <v>27.43</v>
      </c>
      <c r="J205" s="15">
        <v>104.350296</v>
      </c>
      <c r="K205" s="15">
        <v>43.549999</v>
      </c>
      <c r="L205" s="61">
        <f t="shared" si="6"/>
        <v>35959.390319000006</v>
      </c>
      <c r="V205" s="25">
        <v>4917.3198240000002</v>
      </c>
      <c r="W205" s="61">
        <f t="shared" si="7"/>
        <v>36968.303999334072</v>
      </c>
    </row>
    <row r="206" spans="1:23" x14ac:dyDescent="0.45">
      <c r="A206" s="22">
        <v>42096</v>
      </c>
      <c r="B206" s="15">
        <v>70.839995999999999</v>
      </c>
      <c r="C206" s="15">
        <v>29.309999000000001</v>
      </c>
      <c r="D206" s="15">
        <v>66.283417</v>
      </c>
      <c r="E206" s="15">
        <v>17.139999</v>
      </c>
      <c r="F206" s="15">
        <v>52.889999000000003</v>
      </c>
      <c r="G206" s="15">
        <v>6.18</v>
      </c>
      <c r="H206" s="15">
        <v>22.639999</v>
      </c>
      <c r="I206" s="15">
        <v>26.73</v>
      </c>
      <c r="J206" s="15">
        <v>104.715816</v>
      </c>
      <c r="K206" s="15">
        <v>41.959999000000003</v>
      </c>
      <c r="L206" s="61">
        <f t="shared" si="6"/>
        <v>35563.954332000001</v>
      </c>
      <c r="V206" s="25">
        <v>4886.9399409999996</v>
      </c>
      <c r="W206" s="61">
        <f t="shared" si="7"/>
        <v>36739.908696525679</v>
      </c>
    </row>
    <row r="207" spans="1:23" x14ac:dyDescent="0.45">
      <c r="A207" s="22">
        <v>42095</v>
      </c>
      <c r="B207" s="15">
        <v>70.309997999999993</v>
      </c>
      <c r="C207" s="15">
        <v>29.030000999999999</v>
      </c>
      <c r="D207" s="15">
        <v>67.707188000000002</v>
      </c>
      <c r="E207" s="15">
        <v>17.350000000000001</v>
      </c>
      <c r="F207" s="15">
        <v>53.200001</v>
      </c>
      <c r="G207" s="15">
        <v>6.09</v>
      </c>
      <c r="H207" s="15">
        <v>22.43</v>
      </c>
      <c r="I207" s="15">
        <v>27.129999000000002</v>
      </c>
      <c r="J207" s="15">
        <v>104.162603</v>
      </c>
      <c r="K207" s="15">
        <v>40.889999000000003</v>
      </c>
      <c r="L207" s="61">
        <f t="shared" si="6"/>
        <v>35402.187384000004</v>
      </c>
      <c r="V207" s="25">
        <v>4880.2299800000001</v>
      </c>
      <c r="W207" s="61">
        <f t="shared" si="7"/>
        <v>36689.463354967666</v>
      </c>
    </row>
    <row r="208" spans="1:23" x14ac:dyDescent="0.45">
      <c r="A208" s="22">
        <v>42094</v>
      </c>
      <c r="B208" s="15">
        <v>71.050003000000004</v>
      </c>
      <c r="C208" s="15">
        <v>28.9</v>
      </c>
      <c r="D208" s="15">
        <v>67.619417999999996</v>
      </c>
      <c r="E208" s="15">
        <v>17.34</v>
      </c>
      <c r="F208" s="15">
        <v>52.779998999999997</v>
      </c>
      <c r="G208" s="15">
        <v>6</v>
      </c>
      <c r="H208" s="15">
        <v>22.73</v>
      </c>
      <c r="I208" s="15">
        <v>27.129999000000002</v>
      </c>
      <c r="J208" s="15">
        <v>103.619263</v>
      </c>
      <c r="K208" s="15">
        <v>43.41</v>
      </c>
      <c r="L208" s="61">
        <f t="shared" si="6"/>
        <v>35652.338964999995</v>
      </c>
      <c r="V208" s="25">
        <v>4900.8798829999996</v>
      </c>
      <c r="W208" s="61">
        <f t="shared" si="7"/>
        <v>36844.708878745645</v>
      </c>
    </row>
    <row r="209" spans="1:23" x14ac:dyDescent="0.45">
      <c r="A209" s="22">
        <v>42093</v>
      </c>
      <c r="B209" s="15">
        <v>71.900002000000001</v>
      </c>
      <c r="C209" s="15">
        <v>29.08</v>
      </c>
      <c r="D209" s="15">
        <v>67.170833000000002</v>
      </c>
      <c r="E209" s="15">
        <v>17.899999999999999</v>
      </c>
      <c r="F209" s="15">
        <v>53.66</v>
      </c>
      <c r="G209" s="15">
        <v>6.35</v>
      </c>
      <c r="H209" s="15">
        <v>23.02</v>
      </c>
      <c r="I209" s="15">
        <v>26.68</v>
      </c>
      <c r="J209" s="15">
        <v>104.83436500000001</v>
      </c>
      <c r="K209" s="15">
        <v>43.580002</v>
      </c>
      <c r="L209" s="61">
        <f t="shared" si="6"/>
        <v>36000.352982000004</v>
      </c>
      <c r="V209" s="25">
        <v>4947.4399409999996</v>
      </c>
      <c r="W209" s="61">
        <f t="shared" si="7"/>
        <v>37194.746386977211</v>
      </c>
    </row>
    <row r="210" spans="1:23" x14ac:dyDescent="0.45">
      <c r="A210" s="22">
        <v>42090</v>
      </c>
      <c r="B210" s="15">
        <v>71.290001000000004</v>
      </c>
      <c r="C210" s="15">
        <v>28.33</v>
      </c>
      <c r="D210" s="15">
        <v>65.366739999999993</v>
      </c>
      <c r="E210" s="15">
        <v>17.629999000000002</v>
      </c>
      <c r="F210" s="15">
        <v>54.720001000000003</v>
      </c>
      <c r="G210" s="15">
        <v>5.96</v>
      </c>
      <c r="H210" s="15">
        <v>22.76</v>
      </c>
      <c r="I210" s="15">
        <v>26.68</v>
      </c>
      <c r="J210" s="15">
        <v>104.202119</v>
      </c>
      <c r="K210" s="15">
        <v>42.700001</v>
      </c>
      <c r="L210" s="61">
        <f t="shared" si="6"/>
        <v>35404.300709000003</v>
      </c>
      <c r="V210" s="25">
        <v>4891.2202150000003</v>
      </c>
      <c r="W210" s="61">
        <f t="shared" si="7"/>
        <v>36772.087703809317</v>
      </c>
    </row>
    <row r="211" spans="1:23" x14ac:dyDescent="0.45">
      <c r="A211" s="22">
        <v>42089</v>
      </c>
      <c r="B211" s="15">
        <v>71.040001000000004</v>
      </c>
      <c r="C211" s="15">
        <v>28.33</v>
      </c>
      <c r="D211" s="15">
        <v>65.493519000000006</v>
      </c>
      <c r="E211" s="15">
        <v>17.559999000000001</v>
      </c>
      <c r="F211" s="15">
        <v>57.380001</v>
      </c>
      <c r="G211" s="15">
        <v>5.88</v>
      </c>
      <c r="H211" s="15">
        <v>22.48</v>
      </c>
      <c r="I211" s="15">
        <v>26.66</v>
      </c>
      <c r="J211" s="15">
        <v>103.96502099999999</v>
      </c>
      <c r="K211" s="15">
        <v>43.23</v>
      </c>
      <c r="L211" s="61">
        <f t="shared" si="6"/>
        <v>35431.596627999999</v>
      </c>
      <c r="V211" s="25">
        <v>4863.3598629999997</v>
      </c>
      <c r="W211" s="61">
        <f t="shared" si="7"/>
        <v>36562.634180522582</v>
      </c>
    </row>
    <row r="212" spans="1:23" x14ac:dyDescent="0.45">
      <c r="A212" s="22">
        <v>42088</v>
      </c>
      <c r="B212" s="15">
        <v>70.650002000000001</v>
      </c>
      <c r="C212" s="15">
        <v>28.639999</v>
      </c>
      <c r="D212" s="15">
        <v>65.542274000000006</v>
      </c>
      <c r="E212" s="15">
        <v>17.950001</v>
      </c>
      <c r="F212" s="15">
        <v>58.240001999999997</v>
      </c>
      <c r="G212" s="15">
        <v>5.94</v>
      </c>
      <c r="H212" s="15">
        <v>22.470001</v>
      </c>
      <c r="I212" s="15">
        <v>26.57</v>
      </c>
      <c r="J212" s="15">
        <v>103.727931</v>
      </c>
      <c r="K212" s="15">
        <v>42.299999</v>
      </c>
      <c r="L212" s="61">
        <f t="shared" si="6"/>
        <v>35448.611776000005</v>
      </c>
      <c r="V212" s="25">
        <v>4876.5200199999999</v>
      </c>
      <c r="W212" s="61">
        <f t="shared" si="7"/>
        <v>36661.571955991341</v>
      </c>
    </row>
    <row r="213" spans="1:23" x14ac:dyDescent="0.45">
      <c r="A213" s="22">
        <v>42087</v>
      </c>
      <c r="B213" s="15">
        <v>72.610000999999997</v>
      </c>
      <c r="C213" s="15">
        <v>30.1</v>
      </c>
      <c r="D213" s="15">
        <v>67.258604000000005</v>
      </c>
      <c r="E213" s="15">
        <v>18.889999</v>
      </c>
      <c r="F213" s="15">
        <v>59.869999</v>
      </c>
      <c r="G213" s="15">
        <v>6.07</v>
      </c>
      <c r="H213" s="15">
        <v>22.945136999999999</v>
      </c>
      <c r="I213" s="15">
        <v>27.959999</v>
      </c>
      <c r="J213" s="15">
        <v>105.812369</v>
      </c>
      <c r="K213" s="15">
        <v>41.830002</v>
      </c>
      <c r="L213" s="61">
        <f t="shared" si="6"/>
        <v>36485.536210000006</v>
      </c>
      <c r="V213" s="25">
        <v>4994.7299800000001</v>
      </c>
      <c r="W213" s="61">
        <f t="shared" si="7"/>
        <v>37550.271876566025</v>
      </c>
    </row>
    <row r="214" spans="1:23" x14ac:dyDescent="0.45">
      <c r="A214" s="22">
        <v>42086</v>
      </c>
      <c r="B214" s="15">
        <v>73.139999000000003</v>
      </c>
      <c r="C214" s="15">
        <v>30.950001</v>
      </c>
      <c r="D214" s="15">
        <v>68.331306999999995</v>
      </c>
      <c r="E214" s="15">
        <v>18.649999999999999</v>
      </c>
      <c r="F214" s="15">
        <v>59.330002</v>
      </c>
      <c r="G214" s="15">
        <v>6.11</v>
      </c>
      <c r="H214" s="15">
        <v>22.945136999999999</v>
      </c>
      <c r="I214" s="15">
        <v>28.02</v>
      </c>
      <c r="J214" s="15">
        <v>106.908922</v>
      </c>
      <c r="K214" s="15">
        <v>42.080002</v>
      </c>
      <c r="L214" s="61">
        <f t="shared" si="6"/>
        <v>36843.498267000003</v>
      </c>
      <c r="V214" s="25">
        <v>5010.9702150000003</v>
      </c>
      <c r="W214" s="61">
        <f t="shared" si="7"/>
        <v>37672.365611769172</v>
      </c>
    </row>
    <row r="215" spans="1:23" x14ac:dyDescent="0.45">
      <c r="A215" s="22">
        <v>42083</v>
      </c>
      <c r="B215" s="15">
        <v>72.870002999999997</v>
      </c>
      <c r="C215" s="15">
        <v>31.18</v>
      </c>
      <c r="D215" s="15">
        <v>68.302053000000001</v>
      </c>
      <c r="E215" s="15">
        <v>18.790001</v>
      </c>
      <c r="F215" s="15">
        <v>58.889999000000003</v>
      </c>
      <c r="G215" s="15">
        <v>5.68</v>
      </c>
      <c r="H215" s="15">
        <v>23.182704999999999</v>
      </c>
      <c r="I215" s="15">
        <v>28.68</v>
      </c>
      <c r="J215" s="15">
        <v>107.116377</v>
      </c>
      <c r="K215" s="15">
        <v>40.400002000000001</v>
      </c>
      <c r="L215" s="61">
        <f t="shared" si="6"/>
        <v>36677.686718999998</v>
      </c>
      <c r="V215" s="25">
        <v>5026.419922</v>
      </c>
      <c r="W215" s="61">
        <f t="shared" si="7"/>
        <v>37788.516174579629</v>
      </c>
    </row>
    <row r="216" spans="1:23" x14ac:dyDescent="0.45">
      <c r="A216" s="22">
        <v>42082</v>
      </c>
      <c r="B216" s="15">
        <v>72.75</v>
      </c>
      <c r="C216" s="15">
        <v>31.15</v>
      </c>
      <c r="D216" s="15">
        <v>68.097263999999996</v>
      </c>
      <c r="E216" s="15">
        <v>18.620000999999998</v>
      </c>
      <c r="F216" s="15">
        <v>58.389999000000003</v>
      </c>
      <c r="G216" s="15">
        <v>5.67</v>
      </c>
      <c r="H216" s="15">
        <v>22.915441000000001</v>
      </c>
      <c r="I216" s="15">
        <v>28.049999</v>
      </c>
      <c r="J216" s="15">
        <v>106.069221</v>
      </c>
      <c r="K216" s="15">
        <v>39.529998999999997</v>
      </c>
      <c r="L216" s="61">
        <f t="shared" si="6"/>
        <v>36406.478641000002</v>
      </c>
      <c r="V216" s="25">
        <v>4992.3798829999996</v>
      </c>
      <c r="W216" s="61">
        <f t="shared" si="7"/>
        <v>37532.603898188878</v>
      </c>
    </row>
    <row r="217" spans="1:23" x14ac:dyDescent="0.45">
      <c r="A217" s="22">
        <v>42081</v>
      </c>
      <c r="B217" s="15">
        <v>72.879997000000003</v>
      </c>
      <c r="C217" s="15">
        <v>31.030000999999999</v>
      </c>
      <c r="D217" s="15">
        <v>68.487340000000003</v>
      </c>
      <c r="E217" s="15">
        <v>18.68</v>
      </c>
      <c r="F217" s="15">
        <v>59.25</v>
      </c>
      <c r="G217" s="15">
        <v>5.5</v>
      </c>
      <c r="H217" s="15">
        <v>23.341083999999999</v>
      </c>
      <c r="I217" s="15">
        <v>28.16</v>
      </c>
      <c r="J217" s="15">
        <v>106.661951</v>
      </c>
      <c r="K217" s="15">
        <v>40.669998</v>
      </c>
      <c r="L217" s="61">
        <f t="shared" si="6"/>
        <v>36576.612478000003</v>
      </c>
      <c r="V217" s="25">
        <v>4982.830078</v>
      </c>
      <c r="W217" s="61">
        <f t="shared" si="7"/>
        <v>37460.808670908511</v>
      </c>
    </row>
    <row r="218" spans="1:23" x14ac:dyDescent="0.45">
      <c r="A218" s="22">
        <v>42080</v>
      </c>
      <c r="B218" s="15">
        <v>72.059997999999993</v>
      </c>
      <c r="C218" s="15">
        <v>30.57</v>
      </c>
      <c r="D218" s="15">
        <v>68.087511000000006</v>
      </c>
      <c r="E218" s="15">
        <v>18.370000999999998</v>
      </c>
      <c r="F218" s="15">
        <v>57.610000999999997</v>
      </c>
      <c r="G218" s="15">
        <v>5.41</v>
      </c>
      <c r="H218" s="15">
        <v>22.875847</v>
      </c>
      <c r="I218" s="15">
        <v>27.66</v>
      </c>
      <c r="J218" s="15">
        <v>105.664185</v>
      </c>
      <c r="K218" s="15">
        <v>40.25</v>
      </c>
      <c r="L218" s="61">
        <f t="shared" si="6"/>
        <v>36071.82882699999</v>
      </c>
      <c r="V218" s="25">
        <v>4937.4301759999998</v>
      </c>
      <c r="W218" s="61">
        <f t="shared" si="7"/>
        <v>37119.493190372872</v>
      </c>
    </row>
    <row r="219" spans="1:23" x14ac:dyDescent="0.45">
      <c r="A219" s="22">
        <v>42079</v>
      </c>
      <c r="B219" s="15">
        <v>72.080001999999993</v>
      </c>
      <c r="C219" s="15">
        <v>30.620000999999998</v>
      </c>
      <c r="D219" s="15">
        <v>68.263043999999994</v>
      </c>
      <c r="E219" s="15">
        <v>18.989999999999998</v>
      </c>
      <c r="F219" s="15">
        <v>57.950001</v>
      </c>
      <c r="G219" s="15">
        <v>5.35</v>
      </c>
      <c r="H219" s="15">
        <v>22.945136999999999</v>
      </c>
      <c r="I219" s="15">
        <v>28.51</v>
      </c>
      <c r="J219" s="15">
        <v>106.069221</v>
      </c>
      <c r="K219" s="15">
        <v>39.369999</v>
      </c>
      <c r="L219" s="61">
        <f t="shared" si="6"/>
        <v>36158.974084000001</v>
      </c>
      <c r="V219" s="25">
        <v>4929.5097660000001</v>
      </c>
      <c r="W219" s="61">
        <f t="shared" si="7"/>
        <v>37059.947719433549</v>
      </c>
    </row>
    <row r="220" spans="1:23" x14ac:dyDescent="0.45">
      <c r="A220" s="22">
        <v>42076</v>
      </c>
      <c r="B220" s="15">
        <v>70.809997999999993</v>
      </c>
      <c r="C220" s="15">
        <v>29.799999</v>
      </c>
      <c r="D220" s="15">
        <v>66.936790000000002</v>
      </c>
      <c r="E220" s="15">
        <v>18.34</v>
      </c>
      <c r="F220" s="15">
        <v>57.790000999999997</v>
      </c>
      <c r="G220" s="15">
        <v>5.41</v>
      </c>
      <c r="H220" s="15">
        <v>22.757062000000001</v>
      </c>
      <c r="I220" s="15">
        <v>28.719999000000001</v>
      </c>
      <c r="J220" s="15">
        <v>105.150488</v>
      </c>
      <c r="K220" s="15">
        <v>40.130001</v>
      </c>
      <c r="L220" s="61">
        <f t="shared" si="6"/>
        <v>35756.877705999999</v>
      </c>
      <c r="V220" s="25">
        <v>4871.7597660000001</v>
      </c>
      <c r="W220" s="61">
        <f t="shared" si="7"/>
        <v>36625.784469457081</v>
      </c>
    </row>
    <row r="221" spans="1:23" x14ac:dyDescent="0.45">
      <c r="A221" s="22">
        <v>42075</v>
      </c>
      <c r="B221" s="15">
        <v>71.019997000000004</v>
      </c>
      <c r="C221" s="15">
        <v>30.129999000000002</v>
      </c>
      <c r="D221" s="15">
        <v>67.648679999999999</v>
      </c>
      <c r="E221" s="15">
        <v>17.73</v>
      </c>
      <c r="F221" s="15">
        <v>59.41</v>
      </c>
      <c r="G221" s="15">
        <v>5.64</v>
      </c>
      <c r="H221" s="15">
        <v>22.559090000000001</v>
      </c>
      <c r="I221" s="15">
        <v>28.02</v>
      </c>
      <c r="J221" s="15">
        <v>105.87164</v>
      </c>
      <c r="K221" s="15">
        <v>39.700001</v>
      </c>
      <c r="L221" s="61">
        <f t="shared" si="6"/>
        <v>35858.670791000004</v>
      </c>
      <c r="V221" s="25">
        <v>4893.2900390000004</v>
      </c>
      <c r="W221" s="61">
        <f t="shared" si="7"/>
        <v>36787.648595839084</v>
      </c>
    </row>
    <row r="222" spans="1:23" x14ac:dyDescent="0.45">
      <c r="A222" s="22">
        <v>42074</v>
      </c>
      <c r="B222" s="15">
        <v>70.360000999999997</v>
      </c>
      <c r="C222" s="15">
        <v>29.780000999999999</v>
      </c>
      <c r="D222" s="15">
        <v>68.526341000000002</v>
      </c>
      <c r="E222" s="15">
        <v>17.459999</v>
      </c>
      <c r="F222" s="15">
        <v>61.09</v>
      </c>
      <c r="G222" s="15">
        <v>5.83</v>
      </c>
      <c r="H222" s="15">
        <v>22.578885</v>
      </c>
      <c r="I222" s="15">
        <v>27.879999000000002</v>
      </c>
      <c r="J222" s="15">
        <v>101.64349300000001</v>
      </c>
      <c r="K222" s="15">
        <v>38.169998</v>
      </c>
      <c r="L222" s="61">
        <f t="shared" si="6"/>
        <v>35564.270155999999</v>
      </c>
      <c r="V222" s="25">
        <v>4849.9399409999996</v>
      </c>
      <c r="W222" s="61">
        <f t="shared" si="7"/>
        <v>36461.743497406555</v>
      </c>
    </row>
    <row r="223" spans="1:23" x14ac:dyDescent="0.45">
      <c r="A223" s="22">
        <v>42073</v>
      </c>
      <c r="B223" s="15">
        <v>69.199996999999996</v>
      </c>
      <c r="C223" s="15">
        <v>28.91</v>
      </c>
      <c r="D223" s="15">
        <v>70.106145999999995</v>
      </c>
      <c r="E223" s="15">
        <v>17.309999000000001</v>
      </c>
      <c r="F223" s="15">
        <v>60.119999</v>
      </c>
      <c r="G223" s="15">
        <v>5.69</v>
      </c>
      <c r="H223" s="15">
        <v>22.509595000000001</v>
      </c>
      <c r="I223" s="15">
        <v>27.610001</v>
      </c>
      <c r="J223" s="15">
        <v>101.841067</v>
      </c>
      <c r="K223" s="15">
        <v>38.729999999999997</v>
      </c>
      <c r="L223" s="61">
        <f t="shared" si="6"/>
        <v>35242.790267999997</v>
      </c>
      <c r="V223" s="25">
        <v>4859.7900390000004</v>
      </c>
      <c r="W223" s="61">
        <f t="shared" si="7"/>
        <v>36535.796320960966</v>
      </c>
    </row>
    <row r="224" spans="1:23" x14ac:dyDescent="0.45">
      <c r="A224" s="22">
        <v>42072</v>
      </c>
      <c r="B224" s="15">
        <v>69.599997999999999</v>
      </c>
      <c r="C224" s="15">
        <v>28.700001</v>
      </c>
      <c r="D224" s="15">
        <v>70.905798000000004</v>
      </c>
      <c r="E224" s="15">
        <v>17.690000999999999</v>
      </c>
      <c r="F224" s="15">
        <v>61.41</v>
      </c>
      <c r="G224" s="15">
        <v>5.8832089999999999</v>
      </c>
      <c r="H224" s="15">
        <v>23.083718000000001</v>
      </c>
      <c r="I224" s="15">
        <v>28.66</v>
      </c>
      <c r="J224" s="15">
        <v>103.98478299999999</v>
      </c>
      <c r="K224" s="15">
        <v>37.950001</v>
      </c>
      <c r="L224" s="61">
        <f t="shared" si="6"/>
        <v>35580.994529000003</v>
      </c>
      <c r="V224" s="25">
        <v>4942.4399409999996</v>
      </c>
      <c r="W224" s="61">
        <f t="shared" si="7"/>
        <v>37157.156495204355</v>
      </c>
    </row>
    <row r="225" spans="1:23" x14ac:dyDescent="0.45">
      <c r="A225" s="22">
        <v>42069</v>
      </c>
      <c r="B225" s="15">
        <v>69.959998999999996</v>
      </c>
      <c r="C225" s="15">
        <v>28.540001</v>
      </c>
      <c r="D225" s="15">
        <v>69.735578000000004</v>
      </c>
      <c r="E225" s="15">
        <v>17.899999999999999</v>
      </c>
      <c r="F225" s="15">
        <v>62.34</v>
      </c>
      <c r="G225" s="15">
        <v>5.9315110000000004</v>
      </c>
      <c r="H225" s="15">
        <v>22.836251000000001</v>
      </c>
      <c r="I225" s="15">
        <v>28.5</v>
      </c>
      <c r="J225" s="15">
        <v>102.562226</v>
      </c>
      <c r="K225" s="15">
        <v>40.130001</v>
      </c>
      <c r="L225" s="61">
        <f t="shared" si="6"/>
        <v>35684.35699</v>
      </c>
      <c r="V225" s="25">
        <v>4927.3701170000004</v>
      </c>
      <c r="W225" s="61">
        <f t="shared" si="7"/>
        <v>37043.861884565173</v>
      </c>
    </row>
    <row r="226" spans="1:23" x14ac:dyDescent="0.45">
      <c r="A226" s="22">
        <v>42068</v>
      </c>
      <c r="B226" s="15">
        <v>71.089995999999999</v>
      </c>
      <c r="C226" s="15">
        <v>29</v>
      </c>
      <c r="D226" s="15">
        <v>69.169967999999997</v>
      </c>
      <c r="E226" s="15">
        <v>18.459999</v>
      </c>
      <c r="F226" s="15">
        <v>64.309997999999993</v>
      </c>
      <c r="G226" s="15">
        <v>5.9411709999999998</v>
      </c>
      <c r="H226" s="15">
        <v>23.054023999999998</v>
      </c>
      <c r="I226" s="15">
        <v>29.280000999999999</v>
      </c>
      <c r="J226" s="15">
        <v>103.757566</v>
      </c>
      <c r="K226" s="15">
        <v>41.080002</v>
      </c>
      <c r="L226" s="61">
        <f t="shared" si="6"/>
        <v>36220.309709000001</v>
      </c>
      <c r="V226" s="25">
        <v>4982.8100590000004</v>
      </c>
      <c r="W226" s="61">
        <f t="shared" si="7"/>
        <v>37460.658168499831</v>
      </c>
    </row>
    <row r="227" spans="1:23" x14ac:dyDescent="0.45">
      <c r="A227" s="22">
        <v>42067</v>
      </c>
      <c r="B227" s="15">
        <v>71.050003000000004</v>
      </c>
      <c r="C227" s="15">
        <v>29.219999000000001</v>
      </c>
      <c r="D227" s="15">
        <v>69.091950999999995</v>
      </c>
      <c r="E227" s="15">
        <v>18.440000999999999</v>
      </c>
      <c r="F227" s="15">
        <v>61.869999</v>
      </c>
      <c r="G227" s="15">
        <v>5.8059250000000002</v>
      </c>
      <c r="H227" s="15">
        <v>22.697669999999999</v>
      </c>
      <c r="I227" s="15">
        <v>29.27</v>
      </c>
      <c r="J227" s="15">
        <v>104.291025</v>
      </c>
      <c r="K227" s="15">
        <v>43.009998000000003</v>
      </c>
      <c r="L227" s="61">
        <f t="shared" si="6"/>
        <v>36286.409320000006</v>
      </c>
      <c r="V227" s="25">
        <v>4967.1401370000003</v>
      </c>
      <c r="W227" s="61">
        <f t="shared" si="7"/>
        <v>37342.85203408602</v>
      </c>
    </row>
    <row r="228" spans="1:23" x14ac:dyDescent="0.45">
      <c r="A228" s="22">
        <v>42066</v>
      </c>
      <c r="B228" s="15">
        <v>69.860000999999997</v>
      </c>
      <c r="C228" s="15">
        <v>29.620000999999998</v>
      </c>
      <c r="D228" s="15">
        <v>69.638060999999993</v>
      </c>
      <c r="E228" s="15">
        <v>18.299999</v>
      </c>
      <c r="F228" s="15">
        <v>61.77</v>
      </c>
      <c r="G228" s="15">
        <v>5.979813</v>
      </c>
      <c r="H228" s="15">
        <v>22.865947999999999</v>
      </c>
      <c r="I228" s="15">
        <v>29.66</v>
      </c>
      <c r="J228" s="15">
        <v>105.06157399999999</v>
      </c>
      <c r="K228" s="15">
        <v>40.299999</v>
      </c>
      <c r="L228" s="61">
        <f t="shared" si="6"/>
        <v>36176.270448999996</v>
      </c>
      <c r="V228" s="25">
        <v>4979.8999020000001</v>
      </c>
      <c r="W228" s="61">
        <f t="shared" si="7"/>
        <v>37438.77967116543</v>
      </c>
    </row>
    <row r="229" spans="1:23" x14ac:dyDescent="0.45">
      <c r="A229" s="22">
        <v>42065</v>
      </c>
      <c r="B229" s="15">
        <v>71.129997000000003</v>
      </c>
      <c r="C229" s="15">
        <v>29.809999000000001</v>
      </c>
      <c r="D229" s="15">
        <v>70.857044000000002</v>
      </c>
      <c r="E229" s="15">
        <v>18.66</v>
      </c>
      <c r="F229" s="15">
        <v>62.900002000000001</v>
      </c>
      <c r="G229" s="15">
        <v>6.2309840000000003</v>
      </c>
      <c r="H229" s="15">
        <v>23.014427999999999</v>
      </c>
      <c r="I229" s="15">
        <v>31.24</v>
      </c>
      <c r="J229" s="15">
        <v>104.607148</v>
      </c>
      <c r="K229" s="15">
        <v>39.93</v>
      </c>
      <c r="L229" s="61">
        <f t="shared" si="6"/>
        <v>36683.356865999995</v>
      </c>
      <c r="V229" s="25">
        <v>5008.1000979999999</v>
      </c>
      <c r="W229" s="61">
        <f t="shared" si="7"/>
        <v>37650.788134288079</v>
      </c>
    </row>
    <row r="230" spans="1:23" x14ac:dyDescent="0.45">
      <c r="A230" s="22">
        <v>42062</v>
      </c>
      <c r="B230" s="15">
        <v>69.510002</v>
      </c>
      <c r="C230" s="15">
        <v>29.379999000000002</v>
      </c>
      <c r="D230" s="15">
        <v>70.301182999999995</v>
      </c>
      <c r="E230" s="15">
        <v>18.040001</v>
      </c>
      <c r="F230" s="15">
        <v>62.060001</v>
      </c>
      <c r="G230" s="15">
        <v>6.607742</v>
      </c>
      <c r="H230" s="15">
        <v>23.083718000000001</v>
      </c>
      <c r="I230" s="15">
        <v>30.67</v>
      </c>
      <c r="J230" s="15">
        <v>102.819079</v>
      </c>
      <c r="K230" s="15">
        <v>41.98</v>
      </c>
      <c r="L230" s="61">
        <f t="shared" si="6"/>
        <v>36524.666520000006</v>
      </c>
      <c r="V230" s="25">
        <v>4963.5297849999997</v>
      </c>
      <c r="W230" s="61">
        <f t="shared" si="7"/>
        <v>37315.709485897634</v>
      </c>
    </row>
    <row r="231" spans="1:23" x14ac:dyDescent="0.45">
      <c r="A231" s="22">
        <v>42061</v>
      </c>
      <c r="B231" s="15">
        <v>69.559997999999993</v>
      </c>
      <c r="C231" s="15">
        <v>29.17</v>
      </c>
      <c r="D231" s="15">
        <v>69.816413999999995</v>
      </c>
      <c r="E231" s="15">
        <v>17.799999</v>
      </c>
      <c r="F231" s="15">
        <v>61.450001</v>
      </c>
      <c r="G231" s="15">
        <v>6.907216</v>
      </c>
      <c r="H231" s="15">
        <v>23.113415</v>
      </c>
      <c r="I231" s="15">
        <v>30.620000999999998</v>
      </c>
      <c r="J231" s="15">
        <v>103.29325900000001</v>
      </c>
      <c r="K231" s="15">
        <v>44.66</v>
      </c>
      <c r="L231" s="61">
        <f t="shared" si="6"/>
        <v>36772.633631999997</v>
      </c>
      <c r="V231" s="25">
        <v>4987.8901370000003</v>
      </c>
      <c r="W231" s="61">
        <f t="shared" si="7"/>
        <v>37498.850084943362</v>
      </c>
    </row>
    <row r="232" spans="1:23" x14ac:dyDescent="0.45">
      <c r="A232" s="22">
        <v>42060</v>
      </c>
      <c r="B232" s="15">
        <v>69.449996999999996</v>
      </c>
      <c r="C232" s="15">
        <v>29.01</v>
      </c>
      <c r="D232" s="15">
        <v>69.496465000000001</v>
      </c>
      <c r="E232" s="15">
        <v>17.82</v>
      </c>
      <c r="F232" s="15">
        <v>61.189999</v>
      </c>
      <c r="G232" s="15">
        <v>6.7043460000000001</v>
      </c>
      <c r="H232" s="15">
        <v>23.222299</v>
      </c>
      <c r="I232" s="15">
        <v>30.48</v>
      </c>
      <c r="J232" s="15">
        <v>104.291025</v>
      </c>
      <c r="K232" s="15">
        <v>45.049999</v>
      </c>
      <c r="L232" s="61">
        <f t="shared" si="6"/>
        <v>36699.628498000005</v>
      </c>
      <c r="V232" s="25">
        <v>4967.1401370000003</v>
      </c>
      <c r="W232" s="61">
        <f t="shared" si="7"/>
        <v>37342.85203408602</v>
      </c>
    </row>
    <row r="233" spans="1:23" x14ac:dyDescent="0.45">
      <c r="A233" s="22">
        <v>42059</v>
      </c>
      <c r="B233" s="15">
        <v>70.120002999999997</v>
      </c>
      <c r="C233" s="15">
        <v>29.01</v>
      </c>
      <c r="D233" s="15">
        <v>69.195910999999995</v>
      </c>
      <c r="E233" s="15">
        <v>17.209999</v>
      </c>
      <c r="F233" s="15">
        <v>62.32</v>
      </c>
      <c r="G233" s="15">
        <v>7.0134809999999996</v>
      </c>
      <c r="H233" s="15">
        <v>23.301490000000001</v>
      </c>
      <c r="I233" s="15">
        <v>30.77</v>
      </c>
      <c r="J233" s="15">
        <v>103.401927</v>
      </c>
      <c r="K233" s="15">
        <v>43.880001</v>
      </c>
      <c r="L233" s="61">
        <f t="shared" si="6"/>
        <v>36744.622372999991</v>
      </c>
      <c r="V233" s="25">
        <v>4968.1201170000004</v>
      </c>
      <c r="W233" s="61">
        <f t="shared" si="7"/>
        <v>37350.21950251393</v>
      </c>
    </row>
    <row r="234" spans="1:23" x14ac:dyDescent="0.45">
      <c r="A234" s="22">
        <v>42058</v>
      </c>
      <c r="B234" s="15">
        <v>70.239998</v>
      </c>
      <c r="C234" s="15">
        <v>28.65</v>
      </c>
      <c r="D234" s="15">
        <v>68.779009000000002</v>
      </c>
      <c r="E234" s="15">
        <v>17.469999000000001</v>
      </c>
      <c r="F234" s="15">
        <v>62.599997999999999</v>
      </c>
      <c r="G234" s="15">
        <v>6.9265359999999996</v>
      </c>
      <c r="H234" s="15">
        <v>23.133213000000001</v>
      </c>
      <c r="I234" s="15">
        <v>31.4</v>
      </c>
      <c r="J234" s="15">
        <v>103.71805000000001</v>
      </c>
      <c r="K234" s="15">
        <v>43.950001</v>
      </c>
      <c r="L234" s="61">
        <f t="shared" si="6"/>
        <v>36697.760608000004</v>
      </c>
      <c r="V234" s="25">
        <v>4960.9702150000003</v>
      </c>
      <c r="W234" s="61">
        <f t="shared" si="7"/>
        <v>37296.466694040631</v>
      </c>
    </row>
    <row r="235" spans="1:23" x14ac:dyDescent="0.45">
      <c r="A235" s="22">
        <v>42055</v>
      </c>
      <c r="B235" s="15">
        <v>71.620002999999997</v>
      </c>
      <c r="C235" s="15">
        <v>28.59</v>
      </c>
      <c r="D235" s="15">
        <v>69.341335999999998</v>
      </c>
      <c r="E235" s="15">
        <v>17.059999000000001</v>
      </c>
      <c r="F235" s="15">
        <v>63.880001</v>
      </c>
      <c r="G235" s="15">
        <v>6.8975549999999997</v>
      </c>
      <c r="H235" s="15">
        <v>23.073819</v>
      </c>
      <c r="I235" s="15">
        <v>32.029998999999997</v>
      </c>
      <c r="J235" s="15">
        <v>103.28338599999999</v>
      </c>
      <c r="K235" s="15">
        <v>45.07</v>
      </c>
      <c r="L235" s="61">
        <f t="shared" si="6"/>
        <v>36984.095657999998</v>
      </c>
      <c r="V235" s="25">
        <v>4955.9702150000003</v>
      </c>
      <c r="W235" s="61">
        <f t="shared" si="7"/>
        <v>37258.876802267776</v>
      </c>
    </row>
    <row r="236" spans="1:23" x14ac:dyDescent="0.45">
      <c r="A236" s="22">
        <v>42054</v>
      </c>
      <c r="B236" s="15">
        <v>71.559997999999993</v>
      </c>
      <c r="C236" s="15">
        <v>29.1</v>
      </c>
      <c r="D236" s="15">
        <v>68.817791999999997</v>
      </c>
      <c r="E236" s="15">
        <v>17.139999</v>
      </c>
      <c r="F236" s="15">
        <v>62.59</v>
      </c>
      <c r="G236" s="15">
        <v>7.119745</v>
      </c>
      <c r="H236" s="15">
        <v>23.083718000000001</v>
      </c>
      <c r="I236" s="15">
        <v>31.809999000000001</v>
      </c>
      <c r="J236" s="15">
        <v>102.631378</v>
      </c>
      <c r="K236" s="15">
        <v>45.16</v>
      </c>
      <c r="L236" s="61">
        <f t="shared" si="6"/>
        <v>37090.654502999998</v>
      </c>
      <c r="V236" s="25">
        <v>4924.7001950000003</v>
      </c>
      <c r="W236" s="61">
        <f t="shared" si="7"/>
        <v>37023.789468760777</v>
      </c>
    </row>
    <row r="237" spans="1:23" x14ac:dyDescent="0.45">
      <c r="A237" s="22">
        <v>42053</v>
      </c>
      <c r="B237" s="15">
        <v>70.290001000000004</v>
      </c>
      <c r="C237" s="15">
        <v>27.809999000000001</v>
      </c>
      <c r="D237" s="15">
        <v>68.391193000000001</v>
      </c>
      <c r="E237" s="15">
        <v>17.32</v>
      </c>
      <c r="F237" s="15">
        <v>61.490001999999997</v>
      </c>
      <c r="G237" s="15">
        <v>7.0521219999999998</v>
      </c>
      <c r="H237" s="15">
        <v>23.172806999999999</v>
      </c>
      <c r="I237" s="15">
        <v>32.169998</v>
      </c>
      <c r="J237" s="15">
        <v>102.601743</v>
      </c>
      <c r="K237" s="15">
        <v>45.209999000000003</v>
      </c>
      <c r="L237" s="61">
        <f t="shared" si="6"/>
        <v>36629.777331999998</v>
      </c>
      <c r="V237" s="25">
        <v>4906.3598629999997</v>
      </c>
      <c r="W237" s="61">
        <f t="shared" si="7"/>
        <v>36885.90724976913</v>
      </c>
    </row>
    <row r="238" spans="1:23" x14ac:dyDescent="0.45">
      <c r="A238" s="22">
        <v>42052</v>
      </c>
      <c r="B238" s="15">
        <v>70.360000999999997</v>
      </c>
      <c r="C238" s="15">
        <v>26.459999</v>
      </c>
      <c r="D238" s="15">
        <v>68.643275000000003</v>
      </c>
      <c r="E238" s="15">
        <v>17.670000000000002</v>
      </c>
      <c r="F238" s="15">
        <v>63.540000999999997</v>
      </c>
      <c r="G238" s="15">
        <v>6.8009510000000004</v>
      </c>
      <c r="H238" s="15">
        <v>23.251995999999998</v>
      </c>
      <c r="I238" s="15">
        <v>32.330002</v>
      </c>
      <c r="J238" s="15">
        <v>102.85859499999999</v>
      </c>
      <c r="K238" s="15">
        <v>50.919998</v>
      </c>
      <c r="L238" s="61">
        <f t="shared" si="6"/>
        <v>36872.188541999996</v>
      </c>
      <c r="V238" s="25">
        <v>4899.2700199999999</v>
      </c>
      <c r="W238" s="61">
        <f t="shared" si="7"/>
        <v>36832.605963557828</v>
      </c>
    </row>
    <row r="239" spans="1:23" x14ac:dyDescent="0.45">
      <c r="A239" s="22">
        <v>42048</v>
      </c>
      <c r="B239" s="15">
        <v>68.769997000000004</v>
      </c>
      <c r="C239" s="15">
        <v>26.690000999999999</v>
      </c>
      <c r="D239" s="15">
        <v>68.720832000000001</v>
      </c>
      <c r="E239" s="15">
        <v>17.68</v>
      </c>
      <c r="F239" s="15">
        <v>67.160004000000001</v>
      </c>
      <c r="G239" s="15">
        <v>6.5111369999999997</v>
      </c>
      <c r="H239" s="15">
        <v>22.875847</v>
      </c>
      <c r="I239" s="15">
        <v>31.85</v>
      </c>
      <c r="J239" s="15">
        <v>102.907985</v>
      </c>
      <c r="K239" s="15">
        <v>45.27</v>
      </c>
      <c r="L239" s="61">
        <f t="shared" si="6"/>
        <v>36174.378792999996</v>
      </c>
      <c r="V239" s="25">
        <v>4893.8398440000001</v>
      </c>
      <c r="W239" s="61">
        <f t="shared" si="7"/>
        <v>36791.782017928315</v>
      </c>
    </row>
    <row r="240" spans="1:23" x14ac:dyDescent="0.45">
      <c r="A240" s="22">
        <v>42047</v>
      </c>
      <c r="B240" s="15">
        <v>67.589995999999999</v>
      </c>
      <c r="C240" s="15">
        <v>26.280000999999999</v>
      </c>
      <c r="D240" s="15">
        <v>68.245761000000002</v>
      </c>
      <c r="E240" s="15">
        <v>17.549999</v>
      </c>
      <c r="F240" s="15">
        <v>67.5</v>
      </c>
      <c r="G240" s="15">
        <v>6.5207980000000001</v>
      </c>
      <c r="H240" s="15">
        <v>22.707568999999999</v>
      </c>
      <c r="I240" s="15">
        <v>31.940000999999999</v>
      </c>
      <c r="J240" s="15">
        <v>102.325136</v>
      </c>
      <c r="K240" s="15">
        <v>45.290000999999997</v>
      </c>
      <c r="L240" s="61">
        <f t="shared" si="6"/>
        <v>35901.376120999994</v>
      </c>
      <c r="V240" s="25">
        <v>4857.6098629999997</v>
      </c>
      <c r="W240" s="61">
        <f t="shared" si="7"/>
        <v>36519.405804983799</v>
      </c>
    </row>
    <row r="241" spans="1:23" x14ac:dyDescent="0.45">
      <c r="A241" s="22">
        <v>42046</v>
      </c>
      <c r="B241" s="15">
        <v>63.75</v>
      </c>
      <c r="C241" s="15">
        <v>26</v>
      </c>
      <c r="D241" s="15">
        <v>68.071242999999996</v>
      </c>
      <c r="E241" s="15">
        <v>17.690000999999999</v>
      </c>
      <c r="F241" s="15">
        <v>65.959998999999996</v>
      </c>
      <c r="G241" s="15">
        <v>6.4821559999999998</v>
      </c>
      <c r="H241" s="15">
        <v>22.430406000000001</v>
      </c>
      <c r="I241" s="15">
        <v>31.02</v>
      </c>
      <c r="J241" s="15">
        <v>100.63585399999999</v>
      </c>
      <c r="K241" s="15">
        <v>44.77</v>
      </c>
      <c r="L241" s="61">
        <f t="shared" si="6"/>
        <v>35165.436796000002</v>
      </c>
      <c r="V241" s="25">
        <v>4801.1801759999998</v>
      </c>
      <c r="W241" s="61">
        <f t="shared" si="7"/>
        <v>36095.168639562595</v>
      </c>
    </row>
    <row r="242" spans="1:23" x14ac:dyDescent="0.45">
      <c r="A242" s="22">
        <v>42045</v>
      </c>
      <c r="B242" s="15">
        <v>62.209999000000003</v>
      </c>
      <c r="C242" s="15">
        <v>26.6</v>
      </c>
      <c r="D242" s="15">
        <v>68.119722999999993</v>
      </c>
      <c r="E242" s="15">
        <v>17.629999000000002</v>
      </c>
      <c r="F242" s="15">
        <v>63.880001</v>
      </c>
      <c r="G242" s="15">
        <v>6.424194</v>
      </c>
      <c r="H242" s="15">
        <v>22.054257</v>
      </c>
      <c r="I242" s="15">
        <v>31.09</v>
      </c>
      <c r="J242" s="15">
        <v>100.685243</v>
      </c>
      <c r="K242" s="15">
        <v>43.799999</v>
      </c>
      <c r="L242" s="61">
        <f t="shared" si="6"/>
        <v>34942.501258000004</v>
      </c>
      <c r="V242" s="25">
        <v>4787.6401370000003</v>
      </c>
      <c r="W242" s="61">
        <f t="shared" si="7"/>
        <v>35993.374919440554</v>
      </c>
    </row>
    <row r="243" spans="1:23" x14ac:dyDescent="0.45">
      <c r="A243" s="22">
        <v>42044</v>
      </c>
      <c r="B243" s="15">
        <v>60.959999000000003</v>
      </c>
      <c r="C243" s="15">
        <v>27.1</v>
      </c>
      <c r="D243" s="15">
        <v>65.065678000000005</v>
      </c>
      <c r="E243" s="15">
        <v>17.940000999999999</v>
      </c>
      <c r="F243" s="15">
        <v>62.970001000000003</v>
      </c>
      <c r="G243" s="15">
        <v>6.6946859999999999</v>
      </c>
      <c r="H243" s="15">
        <v>21.816689</v>
      </c>
      <c r="I243" s="15">
        <v>28.35</v>
      </c>
      <c r="J243" s="15">
        <v>100.49755</v>
      </c>
      <c r="K243" s="15">
        <v>44.48</v>
      </c>
      <c r="L243" s="61">
        <f t="shared" si="6"/>
        <v>34639.765441000003</v>
      </c>
      <c r="V243" s="25">
        <v>4726.0097660000001</v>
      </c>
      <c r="W243" s="61">
        <f t="shared" si="7"/>
        <v>35530.039124278381</v>
      </c>
    </row>
    <row r="244" spans="1:23" x14ac:dyDescent="0.45">
      <c r="A244" s="22">
        <v>42041</v>
      </c>
      <c r="B244" s="15">
        <v>61.130001</v>
      </c>
      <c r="C244" s="15">
        <v>26.93</v>
      </c>
      <c r="D244" s="15">
        <v>64.328827000000004</v>
      </c>
      <c r="E244" s="15">
        <v>17.700001</v>
      </c>
      <c r="F244" s="15">
        <v>61.369999</v>
      </c>
      <c r="G244" s="15">
        <v>6.7816299999999998</v>
      </c>
      <c r="H244" s="15">
        <v>21.885978999999999</v>
      </c>
      <c r="I244" s="15">
        <v>28.91</v>
      </c>
      <c r="J244" s="15">
        <v>100.78403</v>
      </c>
      <c r="K244" s="15">
        <v>47.119999</v>
      </c>
      <c r="L244" s="61">
        <f t="shared" si="6"/>
        <v>34850.863685999997</v>
      </c>
      <c r="V244" s="25">
        <v>4744.3999020000001</v>
      </c>
      <c r="W244" s="61">
        <f t="shared" si="7"/>
        <v>35668.295768664</v>
      </c>
    </row>
    <row r="245" spans="1:23" x14ac:dyDescent="0.45">
      <c r="A245" s="22">
        <v>42040</v>
      </c>
      <c r="B245" s="15">
        <v>60.490001999999997</v>
      </c>
      <c r="C245" s="15">
        <v>26.98</v>
      </c>
      <c r="D245" s="15">
        <v>65.880086000000006</v>
      </c>
      <c r="E245" s="15">
        <v>17.809999000000001</v>
      </c>
      <c r="F245" s="15">
        <v>62.34</v>
      </c>
      <c r="G245" s="15">
        <v>6.2986079999999998</v>
      </c>
      <c r="H245" s="15">
        <v>21.598917</v>
      </c>
      <c r="I245" s="15">
        <v>29.49</v>
      </c>
      <c r="J245" s="15">
        <v>101.396522</v>
      </c>
      <c r="K245" s="15">
        <v>54.369999</v>
      </c>
      <c r="L245" s="61">
        <f t="shared" si="6"/>
        <v>35445.318023999993</v>
      </c>
      <c r="V245" s="25">
        <v>4765.1000979999999</v>
      </c>
      <c r="W245" s="61">
        <f t="shared" si="7"/>
        <v>35823.91939412737</v>
      </c>
    </row>
    <row r="246" spans="1:23" x14ac:dyDescent="0.45">
      <c r="A246" s="22">
        <v>42039</v>
      </c>
      <c r="B246" s="15">
        <v>59.950001</v>
      </c>
      <c r="C246" s="15">
        <v>26.59</v>
      </c>
      <c r="D246" s="15">
        <v>64.920246000000006</v>
      </c>
      <c r="E246" s="15">
        <v>16.239999999999998</v>
      </c>
      <c r="F246" s="15">
        <v>58.380001</v>
      </c>
      <c r="G246" s="15">
        <v>6.3469100000000003</v>
      </c>
      <c r="H246" s="15">
        <v>21.301957000000002</v>
      </c>
      <c r="I246" s="15">
        <v>29.030000999999999</v>
      </c>
      <c r="J246" s="15">
        <v>100.052997</v>
      </c>
      <c r="K246" s="15">
        <v>51.869999</v>
      </c>
      <c r="L246" s="61">
        <f t="shared" si="6"/>
        <v>34659.854049000001</v>
      </c>
      <c r="V246" s="25">
        <v>4716.7001950000003</v>
      </c>
      <c r="W246" s="61">
        <f t="shared" si="7"/>
        <v>35460.049971010041</v>
      </c>
    </row>
    <row r="247" spans="1:23" x14ac:dyDescent="0.45">
      <c r="A247" s="22">
        <v>42038</v>
      </c>
      <c r="B247" s="15">
        <v>60.119999</v>
      </c>
      <c r="C247" s="15">
        <v>26.790001</v>
      </c>
      <c r="D247" s="15">
        <v>64.920246000000006</v>
      </c>
      <c r="E247" s="15">
        <v>16.360001</v>
      </c>
      <c r="F247" s="15">
        <v>57.360000999999997</v>
      </c>
      <c r="G247" s="15">
        <v>6.1633620000000002</v>
      </c>
      <c r="H247" s="15">
        <v>21.440538</v>
      </c>
      <c r="I247" s="15">
        <v>28.950001</v>
      </c>
      <c r="J247" s="15">
        <v>92.959981999999997</v>
      </c>
      <c r="K247" s="15">
        <v>54.57</v>
      </c>
      <c r="L247" s="61">
        <f t="shared" si="6"/>
        <v>34690.193034999997</v>
      </c>
      <c r="V247" s="25">
        <v>4727.7402339999999</v>
      </c>
      <c r="W247" s="61">
        <f t="shared" si="7"/>
        <v>35543.048745245658</v>
      </c>
    </row>
    <row r="248" spans="1:23" x14ac:dyDescent="0.45">
      <c r="A248" s="22">
        <v>42037</v>
      </c>
      <c r="B248" s="15">
        <v>58.490001999999997</v>
      </c>
      <c r="C248" s="15">
        <v>26.440000999999999</v>
      </c>
      <c r="D248" s="15">
        <v>63.533807000000003</v>
      </c>
      <c r="E248" s="15">
        <v>16</v>
      </c>
      <c r="F248" s="15">
        <v>80.080001999999993</v>
      </c>
      <c r="G248" s="15">
        <v>5.9025299999999996</v>
      </c>
      <c r="H248" s="15">
        <v>20.915907000000001</v>
      </c>
      <c r="I248" s="15">
        <v>28.440000999999999</v>
      </c>
      <c r="J248" s="15">
        <v>90.816274000000007</v>
      </c>
      <c r="K248" s="15">
        <v>52.139999000000003</v>
      </c>
      <c r="L248" s="61">
        <f t="shared" si="6"/>
        <v>34525.370618999994</v>
      </c>
      <c r="V248" s="25">
        <v>4676.6899409999996</v>
      </c>
      <c r="W248" s="61">
        <f t="shared" si="7"/>
        <v>35159.25374747716</v>
      </c>
    </row>
    <row r="249" spans="1:23" x14ac:dyDescent="0.45">
      <c r="A249" s="22">
        <v>42034</v>
      </c>
      <c r="B249" s="15">
        <v>58.16</v>
      </c>
      <c r="C249" s="15">
        <v>26.219999000000001</v>
      </c>
      <c r="D249" s="15">
        <v>60.557326000000003</v>
      </c>
      <c r="E249" s="15">
        <v>15.94</v>
      </c>
      <c r="F249" s="15">
        <v>79.489998</v>
      </c>
      <c r="G249" s="15">
        <v>5.9025299999999996</v>
      </c>
      <c r="H249" s="15">
        <v>20.688237999999998</v>
      </c>
      <c r="I249" s="15">
        <v>29.27</v>
      </c>
      <c r="J249" s="15">
        <v>89.858024</v>
      </c>
      <c r="K249" s="15">
        <v>49.75</v>
      </c>
      <c r="L249" s="61">
        <f t="shared" si="6"/>
        <v>34065.526239999999</v>
      </c>
      <c r="V249" s="25">
        <v>4635.2402339999999</v>
      </c>
      <c r="W249" s="61">
        <f t="shared" si="7"/>
        <v>34847.635747447857</v>
      </c>
    </row>
    <row r="250" spans="1:23" x14ac:dyDescent="0.45">
      <c r="A250" s="22">
        <v>42033</v>
      </c>
      <c r="B250" s="15">
        <v>59.950001</v>
      </c>
      <c r="C250" s="15">
        <v>26.84</v>
      </c>
      <c r="D250" s="15">
        <v>61.749856999999999</v>
      </c>
      <c r="E250" s="15">
        <v>16.450001</v>
      </c>
      <c r="F250" s="15">
        <v>78.309997999999993</v>
      </c>
      <c r="G250" s="15">
        <v>6.1923430000000002</v>
      </c>
      <c r="H250" s="15">
        <v>20.539757999999999</v>
      </c>
      <c r="I250" s="15">
        <v>29.709999</v>
      </c>
      <c r="J250" s="15">
        <v>92.090646000000007</v>
      </c>
      <c r="K250" s="15">
        <v>50.84</v>
      </c>
      <c r="L250" s="61">
        <f t="shared" si="6"/>
        <v>34748.809729000001</v>
      </c>
      <c r="V250" s="25">
        <v>4683.4101559999999</v>
      </c>
      <c r="W250" s="61">
        <f t="shared" si="7"/>
        <v>35209.776178385226</v>
      </c>
    </row>
    <row r="251" spans="1:23" x14ac:dyDescent="0.45">
      <c r="A251" s="22">
        <v>42032</v>
      </c>
      <c r="B251" s="15">
        <v>58.990001999999997</v>
      </c>
      <c r="C251" s="15">
        <v>26.379999000000002</v>
      </c>
      <c r="D251" s="15">
        <v>68.827482000000003</v>
      </c>
      <c r="E251" s="15">
        <v>16.649999999999999</v>
      </c>
      <c r="F251" s="15">
        <v>79.040001000000004</v>
      </c>
      <c r="G251" s="15">
        <v>6.3855519999999997</v>
      </c>
      <c r="H251" s="15">
        <v>20.460569</v>
      </c>
      <c r="I251" s="15">
        <v>29.1</v>
      </c>
      <c r="J251" s="15">
        <v>91.547307000000004</v>
      </c>
      <c r="K251" s="15">
        <v>51.459999000000003</v>
      </c>
      <c r="L251" s="61">
        <f t="shared" si="6"/>
        <v>34965.210071999994</v>
      </c>
      <c r="V251" s="25">
        <v>4637.9902339999999</v>
      </c>
      <c r="W251" s="61">
        <f t="shared" si="7"/>
        <v>34868.310187922929</v>
      </c>
    </row>
    <row r="252" spans="1:23" x14ac:dyDescent="0.45">
      <c r="A252" s="22">
        <v>42031</v>
      </c>
      <c r="B252" s="15">
        <v>60.290000999999997</v>
      </c>
      <c r="C252" s="15">
        <v>27.059999000000001</v>
      </c>
      <c r="D252" s="15">
        <v>69.58372</v>
      </c>
      <c r="E252" s="15">
        <v>17.040001</v>
      </c>
      <c r="F252" s="15">
        <v>80.169998000000007</v>
      </c>
      <c r="G252" s="15">
        <v>6.6753650000000002</v>
      </c>
      <c r="H252" s="15">
        <v>20.262595000000001</v>
      </c>
      <c r="I252" s="15">
        <v>29.65</v>
      </c>
      <c r="J252" s="15">
        <v>92.831559999999996</v>
      </c>
      <c r="K252" s="15">
        <v>51.419998</v>
      </c>
      <c r="L252" s="61">
        <f t="shared" si="6"/>
        <v>35524.130674999993</v>
      </c>
      <c r="V252" s="25">
        <v>4681.5</v>
      </c>
      <c r="W252" s="61">
        <f t="shared" si="7"/>
        <v>35195.415666923371</v>
      </c>
    </row>
    <row r="253" spans="1:23" x14ac:dyDescent="0.45">
      <c r="A253" s="22">
        <v>42030</v>
      </c>
      <c r="B253" s="15">
        <v>61.169998</v>
      </c>
      <c r="C253" s="15">
        <v>27.48</v>
      </c>
      <c r="D253" s="15">
        <v>70.398135999999994</v>
      </c>
      <c r="E253" s="15">
        <v>16.73</v>
      </c>
      <c r="F253" s="15">
        <v>79.349997999999999</v>
      </c>
      <c r="G253" s="15">
        <v>6.8106109999999997</v>
      </c>
      <c r="H253" s="15">
        <v>20.628845999999999</v>
      </c>
      <c r="I253" s="15">
        <v>31.02</v>
      </c>
      <c r="J253" s="15">
        <v>93.819445000000002</v>
      </c>
      <c r="K253" s="15">
        <v>50.41</v>
      </c>
      <c r="L253" s="61">
        <f t="shared" si="6"/>
        <v>35873.986634000001</v>
      </c>
      <c r="V253" s="25">
        <v>4771.7597660000001</v>
      </c>
      <c r="W253" s="61">
        <f t="shared" si="7"/>
        <v>35873.986634000001</v>
      </c>
    </row>
    <row r="254" spans="1:23" x14ac:dyDescent="0.45">
      <c r="A254" s="22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25"/>
      <c r="V254" s="25"/>
      <c r="W254" s="15">
        <f>L253/V253</f>
        <v>7.5179783545708361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Stocks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Harshil Chahal</dc:creator>
  <cp:lastModifiedBy>RaySu</cp:lastModifiedBy>
  <dcterms:created xsi:type="dcterms:W3CDTF">2015-11-24T19:50:03Z</dcterms:created>
  <dcterms:modified xsi:type="dcterms:W3CDTF">2016-01-24T17:42:29Z</dcterms:modified>
</cp:coreProperties>
</file>